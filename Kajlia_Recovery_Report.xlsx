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Khulasa" sheetId="1" state="visible" r:id="rId3"/>
    <sheet name="2 Mahine ba mahine" sheetId="2" state="visible" r:id="rId4"/>
    <sheet name="3 Flat ke hisab se" sheetId="3" state="visible" r:id="rId5"/>
    <sheet name="4 Cheque status" sheetId="4" state="visible" r:id="rId6"/>
    <sheet name="5 Data ki sehat" sheetId="5" state="visible" r:id="rId7"/>
    <sheet name="6 Khamosh fla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<sst xmlns="http://schemas.openxmlformats.org/spreadsheetml/2006/main" count="425" uniqueCount="205">
  <si>
    <t xml:space="preserve">Kajlia Recovery — Khulasa</t>
  </si>
  <si>
    <t xml:space="preserve">Ye sheet poore project ka ek nazar mein khulasa dikhati hai: kul sale value, kitna wasool hua, kitna baqi hai, aur kitna khatray mein hai.</t>
  </si>
  <si>
    <t xml:space="preserve">Cheez</t>
  </si>
  <si>
    <t xml:space="preserve">Raqam (crore)</t>
  </si>
  <si>
    <t xml:space="preserve">Matlab</t>
  </si>
  <si>
    <t xml:space="preserve">Kul sale value (saare flats)</t>
  </si>
  <si>
    <t xml:space="preserve">36 flats ki total sale value</t>
  </si>
  <si>
    <t xml:space="preserve">Kul wasooli (Recovered)</t>
  </si>
  <si>
    <t xml:space="preserve">cheque_status na 'pending' na 'returned'</t>
  </si>
  <si>
    <t xml:space="preserve">Baqi (Outstanding)</t>
  </si>
  <si>
    <t xml:space="preserve">Kul sale value - Recovered</t>
  </si>
  <si>
    <t xml:space="preserve">Pending cheques</t>
  </si>
  <si>
    <t xml:space="preserve">Cheques jo abhi clear hone ka intezar kar rahe hain</t>
  </si>
  <si>
    <t xml:space="preserve">Unsecured</t>
  </si>
  <si>
    <t xml:space="preserve">Outstanding - Pending. Ye sab se khatray wala number</t>
  </si>
  <si>
    <t xml:space="preserve">Data ka arsa</t>
  </si>
  <si>
    <t xml:space="preserve">2026-01-10 se 2026-07-18 tak</t>
  </si>
  <si>
    <t xml:space="preserve">Report bani</t>
  </si>
  <si>
    <t xml:space="preserve">26 August 2026</t>
  </si>
  <si>
    <t xml:space="preserve">Payments / Flats</t>
  </si>
  <si>
    <t xml:space="preserve">255 payments, 36 flats</t>
  </si>
  <si>
    <t xml:space="preserve">Note: Sab hisaab project ke business rules ke mutabiq hai. Wasooli = wo payments jin ka cheque_status na 'pending' hai na 'returned'.</t>
  </si>
  <si>
    <t xml:space="preserve">Mahine ba mahine wasooli</t>
  </si>
  <si>
    <t xml:space="preserve">Har mahine kitni wasooli hui (sirf clear ho chuki payments), tareekh ke hisab se tarteeb mein. Aakhri column chalta hua total dikhata hai.</t>
  </si>
  <si>
    <t xml:space="preserve">Mahina</t>
  </si>
  <si>
    <t xml:space="preserve">Kitni payments</t>
  </si>
  <si>
    <t xml:space="preserve">Wasooli (crore)</t>
  </si>
  <si>
    <t xml:space="preserve">Chalta hua total (crore)</t>
  </si>
  <si>
    <t xml:space="preserve">Jan 2026</t>
  </si>
  <si>
    <t xml:space="preserve">Feb 2026</t>
  </si>
  <si>
    <t xml:space="preserve">Mar 2026</t>
  </si>
  <si>
    <t xml:space="preserve">Apr 2026</t>
  </si>
  <si>
    <t xml:space="preserve">May 2026</t>
  </si>
  <si>
    <t xml:space="preserve">Jun 2026</t>
  </si>
  <si>
    <t xml:space="preserve">Jul 2026</t>
  </si>
  <si>
    <t xml:space="preserve">TOTAL</t>
  </si>
  <si>
    <t xml:space="preserve">Flat ke hisab se wasooli</t>
  </si>
  <si>
    <t xml:space="preserve">Har flat ka hisaab. Sab se zyada baqi wale flats sab se upar. 'Baqi' = sale value manha wasooli (pending cheques abhi wasooli mein shumar nahi).</t>
  </si>
  <si>
    <t xml:space="preserve">Flat number</t>
  </si>
  <si>
    <t xml:space="preserve">Customer</t>
  </si>
  <si>
    <t xml:space="preserve">Sale (crore)</t>
  </si>
  <si>
    <t xml:space="preserve">Wasool (lakh)</t>
  </si>
  <si>
    <t xml:space="preserve">Baqi (crore)</t>
  </si>
  <si>
    <t xml:space="preserve">Wasool %</t>
  </si>
  <si>
    <t xml:space="preserve">Sifar wasooli?</t>
  </si>
  <si>
    <t xml:space="preserve">406</t>
  </si>
  <si>
    <t xml:space="preserve">Customer 36</t>
  </si>
  <si>
    <t xml:space="preserve">Nahi</t>
  </si>
  <si>
    <t xml:space="preserve">803</t>
  </si>
  <si>
    <t xml:space="preserve">Customer 26</t>
  </si>
  <si>
    <t xml:space="preserve">HAAN</t>
  </si>
  <si>
    <t xml:space="preserve">906</t>
  </si>
  <si>
    <t xml:space="preserve">Customer 33</t>
  </si>
  <si>
    <t xml:space="preserve">206</t>
  </si>
  <si>
    <t xml:space="preserve">Customer 34</t>
  </si>
  <si>
    <t xml:space="preserve">201</t>
  </si>
  <si>
    <t xml:space="preserve">Customer 35</t>
  </si>
  <si>
    <t xml:space="preserve">403</t>
  </si>
  <si>
    <t xml:space="preserve">Customer 5</t>
  </si>
  <si>
    <t xml:space="preserve">806</t>
  </si>
  <si>
    <t xml:space="preserve">Customer 28</t>
  </si>
  <si>
    <t xml:space="preserve">606</t>
  </si>
  <si>
    <t xml:space="preserve">Customer 20</t>
  </si>
  <si>
    <t xml:space="preserve">903</t>
  </si>
  <si>
    <t xml:space="preserve">Customer 31</t>
  </si>
  <si>
    <t xml:space="preserve">703</t>
  </si>
  <si>
    <t xml:space="preserve">Customer 23</t>
  </si>
  <si>
    <t xml:space="preserve">509</t>
  </si>
  <si>
    <t xml:space="preserve">Customer 14</t>
  </si>
  <si>
    <t xml:space="preserve">301</t>
  </si>
  <si>
    <t xml:space="preserve">Customer 2</t>
  </si>
  <si>
    <t xml:space="preserve">902</t>
  </si>
  <si>
    <t xml:space="preserve">Customer 30</t>
  </si>
  <si>
    <t xml:space="preserve">502</t>
  </si>
  <si>
    <t xml:space="preserve">Customer 9</t>
  </si>
  <si>
    <t xml:space="preserve">302</t>
  </si>
  <si>
    <t xml:space="preserve">Customer 3</t>
  </si>
  <si>
    <t xml:space="preserve">401</t>
  </si>
  <si>
    <t xml:space="preserve">Customer 4</t>
  </si>
  <si>
    <t xml:space="preserve">602</t>
  </si>
  <si>
    <t xml:space="preserve">Customer 18</t>
  </si>
  <si>
    <t xml:space="preserve">601</t>
  </si>
  <si>
    <t xml:space="preserve">Customer 17</t>
  </si>
  <si>
    <t xml:space="preserve">501</t>
  </si>
  <si>
    <t xml:space="preserve">Customer 8</t>
  </si>
  <si>
    <t xml:space="preserve">404</t>
  </si>
  <si>
    <t xml:space="preserve">Customer 6</t>
  </si>
  <si>
    <t xml:space="preserve">801</t>
  </si>
  <si>
    <t xml:space="preserve">Customer 25</t>
  </si>
  <si>
    <t xml:space="preserve">701</t>
  </si>
  <si>
    <t xml:space="preserve">Customer 21</t>
  </si>
  <si>
    <t xml:space="preserve">503</t>
  </si>
  <si>
    <t xml:space="preserve">Customer 10</t>
  </si>
  <si>
    <t xml:space="preserve">901</t>
  </si>
  <si>
    <t xml:space="preserve">Customer 29</t>
  </si>
  <si>
    <t xml:space="preserve">702</t>
  </si>
  <si>
    <t xml:space="preserve">Customer 22</t>
  </si>
  <si>
    <t xml:space="preserve">604</t>
  </si>
  <si>
    <t xml:space="preserve">Customer 19</t>
  </si>
  <si>
    <t xml:space="preserve">804</t>
  </si>
  <si>
    <t xml:space="preserve">Customer 27</t>
  </si>
  <si>
    <t xml:space="preserve">506</t>
  </si>
  <si>
    <t xml:space="preserve">Customer 13</t>
  </si>
  <si>
    <t xml:space="preserve">704</t>
  </si>
  <si>
    <t xml:space="preserve">Customer 24</t>
  </si>
  <si>
    <t xml:space="preserve">706</t>
  </si>
  <si>
    <t xml:space="preserve">Customer 15</t>
  </si>
  <si>
    <t xml:space="preserve">402</t>
  </si>
  <si>
    <t xml:space="preserve">Customer 1</t>
  </si>
  <si>
    <t xml:space="preserve">904</t>
  </si>
  <si>
    <t xml:space="preserve">Customer 32</t>
  </si>
  <si>
    <t xml:space="preserve">504</t>
  </si>
  <si>
    <t xml:space="preserve">Customer 11</t>
  </si>
  <si>
    <t xml:space="preserve">505</t>
  </si>
  <si>
    <t xml:space="preserve">Customer 12</t>
  </si>
  <si>
    <t xml:space="preserve">510</t>
  </si>
  <si>
    <t xml:space="preserve">Customer 16</t>
  </si>
  <si>
    <t xml:space="preserve">405</t>
  </si>
  <si>
    <t xml:space="preserve">Customer 7</t>
  </si>
  <si>
    <t xml:space="preserve">Cheque status ki taqseem</t>
  </si>
  <si>
    <t xml:space="preserve">Har status ke saamne kitni entries hain aur kitni raqam. Wasooli mein sirf wo shumar hoti hain jo na 'pending' hain na 'returned'.</t>
  </si>
  <si>
    <t xml:space="preserve">Status</t>
  </si>
  <si>
    <t xml:space="preserve">Kitni entries</t>
  </si>
  <si>
    <t xml:space="preserve">Wasooli mein shumar?</t>
  </si>
  <si>
    <t xml:space="preserve">n/a</t>
  </si>
  <si>
    <t xml:space="preserve">Haan</t>
  </si>
  <si>
    <t xml:space="preserve">Cash / online transfer — koi cheque nahi. Wasool shuda gini jati hai.</t>
  </si>
  <si>
    <t xml:space="preserve">pending</t>
  </si>
  <si>
    <t xml:space="preserve">Cheque diya gaya hai magar abhi clear nahi hua.</t>
  </si>
  <si>
    <t xml:space="preserve">realized_bank</t>
  </si>
  <si>
    <t xml:space="preserve">Cheque bank mein clear ho gaya. Wasool shuda.</t>
  </si>
  <si>
    <t xml:space="preserve">realized_cash</t>
  </si>
  <si>
    <t xml:space="preserve">Cheque cash mein wasool ho gaya. Wasool shuda.</t>
  </si>
  <si>
    <t xml:space="preserve">returned</t>
  </si>
  <si>
    <t xml:space="preserve">Cheque wapas aa gaya. Wasooli mein shumar NAHI.</t>
  </si>
  <si>
    <t xml:space="preserve">Data ki sehat — mashkook dohri entries</t>
  </si>
  <si>
    <t xml:space="preserve">Wo payments jahan ek hi voucher number do ya zyada entries par lagta hai. Ek receipt ka voucher sirf ek baar hona chahiye.</t>
  </si>
  <si>
    <t xml:space="preserve">Tareekh</t>
  </si>
  <si>
    <t xml:space="preserve">Raqam (lakh)</t>
  </si>
  <si>
    <t xml:space="preserve">Tareeqa</t>
  </si>
  <si>
    <t xml:space="preserve">Voucher number</t>
  </si>
  <si>
    <t xml:space="preserve">Faisla</t>
  </si>
  <si>
    <t xml:space="preserve">2026-02-16</t>
  </si>
  <si>
    <t xml:space="preserve">Online Transfer</t>
  </si>
  <si>
    <t xml:space="preserve">R-220-0033</t>
  </si>
  <si>
    <t xml:space="preserve">Pehli entry</t>
  </si>
  <si>
    <t xml:space="preserve">ZAID (dohri)</t>
  </si>
  <si>
    <t xml:space="preserve">R-220-0034</t>
  </si>
  <si>
    <t xml:space="preserve">R-220-0035</t>
  </si>
  <si>
    <t xml:space="preserve">2026-02-17</t>
  </si>
  <si>
    <t xml:space="preserve">R-220-0036</t>
  </si>
  <si>
    <t xml:space="preserve">2026-02-23</t>
  </si>
  <si>
    <t xml:space="preserve">R-220-0068</t>
  </si>
  <si>
    <t xml:space="preserve">2026-06-17</t>
  </si>
  <si>
    <t xml:space="preserve">Bank Transfer</t>
  </si>
  <si>
    <t xml:space="preserve">R-220-0131</t>
  </si>
  <si>
    <t xml:space="preserve">Agar ye zaid entries hata di jayein to teeno numbers:</t>
  </si>
  <si>
    <t xml:space="preserve">Number</t>
  </si>
  <si>
    <t xml:space="preserve">Abhi (crore)</t>
  </si>
  <si>
    <t xml:space="preserve">Hatane par (crore)</t>
  </si>
  <si>
    <t xml:space="preserve">Farq (crore)</t>
  </si>
  <si>
    <t xml:space="preserve">Recovered</t>
  </si>
  <si>
    <t xml:space="preserve">Outstanding</t>
  </si>
  <si>
    <t xml:space="preserve">Kul 13 entries mashkook hain — 6 asli aur 7 zaid. Zaid raqam: 45 lakh.</t>
  </si>
  <si>
    <t xml:space="preserve">YE JAAN BOOJH KAR THEEK NAHI KI GAYIN. Ye demo data hai aur ye entries test case ke tor par rakhi gayi hain.</t>
  </si>
  <si>
    <t xml:space="preserve">Qaida: ek hi flat + tareekh + raqam dohri entry NAHI hai (qiston ke kai cheques ho sakte hain, har ek ka cheque number alag). Ek hi VOUCHER NUMBER kai entries par = dohri entry hai.</t>
  </si>
  <si>
    <t xml:space="preserve">Maali record delete nahi karte — galat entry ko nishaan zad karo, mitao mat.</t>
  </si>
  <si>
    <t xml:space="preserve">Khamosh flats — wasooli ruki hui</t>
  </si>
  <si>
    <t xml:space="preserve">Ye sheet dikhati hai ke kaunsa flat chal raha hai aur kaunsa ruk gaya hai. 'Aakhri wasooli' se murad wo aakhri payment hai jo CLEAR ho chuki hai (pending cheque ko wasooli nahi mana jata).</t>
  </si>
  <si>
    <t xml:space="preserve">KHULASA: 30 flats 2 mahine (60 din) se zyada khamosh hain — in mein 118.20 crore phansi hui hai. (Hisaab 26 August 2026 tak)</t>
  </si>
  <si>
    <t xml:space="preserve">A. Ek rupya bhi wasool nahi hua — 2 flats</t>
  </si>
  <si>
    <t xml:space="preserve">Aakhri wasooli</t>
  </si>
  <si>
    <t xml:space="preserve">Kitne din khamosh</t>
  </si>
  <si>
    <t xml:space="preserve">Kitne mahine</t>
  </si>
  <si>
    <t xml:space="preserve">Kitni wasooli hui</t>
  </si>
  <si>
    <t xml:space="preserve">Pending cheques (lakh)</t>
  </si>
  <si>
    <t xml:space="preserve">Kabhi nahi</t>
  </si>
  <si>
    <t xml:space="preserve">—</t>
  </si>
  <si>
    <t xml:space="preserve">B. Wasooli shuru hui phir ruk gayi — 34 flats (sab se zyada arse se khamosh sab se upar)</t>
  </si>
  <si>
    <t xml:space="preserve">2026-01-14</t>
  </si>
  <si>
    <t xml:space="preserve">2026-01-22</t>
  </si>
  <si>
    <t xml:space="preserve">2026-01-27</t>
  </si>
  <si>
    <t xml:space="preserve">2026-04-14</t>
  </si>
  <si>
    <t xml:space="preserve">2026-04-15</t>
  </si>
  <si>
    <t xml:space="preserve">2026-04-16</t>
  </si>
  <si>
    <t xml:space="preserve">2026-04-20</t>
  </si>
  <si>
    <t xml:space="preserve">2026-05-09</t>
  </si>
  <si>
    <t xml:space="preserve">2026-05-13</t>
  </si>
  <si>
    <t xml:space="preserve">2026-05-19</t>
  </si>
  <si>
    <t xml:space="preserve">2026-05-20</t>
  </si>
  <si>
    <t xml:space="preserve">2026-06-03</t>
  </si>
  <si>
    <t xml:space="preserve">2026-06-04</t>
  </si>
  <si>
    <t xml:space="preserve">2026-06-06</t>
  </si>
  <si>
    <t xml:space="preserve">2026-06-08</t>
  </si>
  <si>
    <t xml:space="preserve">2026-06-09</t>
  </si>
  <si>
    <t xml:space="preserve">2026-06-18</t>
  </si>
  <si>
    <t xml:space="preserve">2026-06-22</t>
  </si>
  <si>
    <t xml:space="preserve">2026-07-02</t>
  </si>
  <si>
    <t xml:space="preserve">2026-07-07</t>
  </si>
  <si>
    <t xml:space="preserve">2026-07-10</t>
  </si>
  <si>
    <t xml:space="preserve">2026-07-16</t>
  </si>
  <si>
    <t xml:space="preserve">2026-07-18</t>
  </si>
  <si>
    <t xml:space="preserve">Note: 'Kitni wasooli hui' sirf clear ho chuki payments ginti hai. Pending cheques alag column mein hain.</t>
  </si>
  <si>
    <t xml:space="preserve">AHEM: A wale dono flats bilkul khali nahi hain — flat 803 par 14 aur flat 404 par 11 payment entries maujood hain, magar sab pending cheques hain jo abhi clear nahi hue. Yaani customer ne cheque diye hain, paisa aaya nahi.</t>
  </si>
  <si>
    <t xml:space="preserve">Rang: laal rows = ek rupya bhi wasool nahi hua. Peela 'din' = 60 din se zyada khamosh.</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</si>
</sst>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10"/>
      <color rgb="FF555555"/>
      <name val="Arial"/>
      <family val="0"/>
      <charset val="1"/>
    </font>
    <font>
      <b val="true"/>
      <sz val="11"/>
      <color rgb="FFFFFFFF"/>
      <name val="Arial"/>
      <family val="0"/>
      <charset val="1"/>
    </font>
    <font>
      <sz val="11"/>
      <name val="Arial"/>
      <family val="0"/>
      <charset val="1"/>
    </font>
    <font>
      <b val="true"/>
      <sz val="11"/>
      <name val="Arial"/>
      <family val="0"/>
      <charset val="1"/>
    </font>
    <font>
      <sz val="10"/>
      <color rgb="FF7F5F00"/>
      <name val="Arial"/>
      <family val="0"/>
      <charset val="1"/>
    </font>
    <font>
      <b val="true"/>
      <sz val="11"/>
      <color rgb="FF9C0006"/>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D9E1F2"/>
        <bgColor rgb="FFCCFFFF"/>
      </patternFill>
    </fill>
    <fill>
      <patternFill patternType="solid">
        <fgColor rgb="FFFFC7CE"/>
        <bgColor rgb="FFD9E1F2"/>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right" vertical="bottom" textRotation="0" wrapText="false" indent="0" shrinkToFit="false"/>
      <protection locked="true" hidden="false"/>
    </xf>
    <xf numFmtId="167" fontId="7" fillId="4" borderId="1" xfId="0" applyFont="true" applyBorder="true" applyAlignment="true" applyProtection="false">
      <alignment horizontal="right"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6" fontId="7" fillId="4" borderId="1" xfId="0" applyFont="true" applyBorder="true" applyAlignment="true" applyProtection="false">
      <alignment horizontal="right" vertical="bottom" textRotation="0" wrapText="false" indent="0" shrinkToFit="false"/>
      <protection locked="true" hidden="false"/>
    </xf>
    <xf numFmtId="168" fontId="7" fillId="4" borderId="1" xfId="0" applyFont="true" applyBorder="true" applyAlignment="true" applyProtection="false">
      <alignment horizontal="right" vertical="bottom" textRotation="0" wrapText="false" indent="0" shrinkToFit="false"/>
      <protection locked="true" hidden="false"/>
    </xf>
    <xf numFmtId="166" fontId="10" fillId="5"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7F5F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6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v>152.9</v>
      </c>
      <c r="C5" s="4" t="s">
        <v>6</v>
      </c>
    </row>
    <row r="6" customFormat="false" ht="15" hidden="false" customHeight="false" outlineLevel="0" collapsed="false">
      <c r="A6" s="4" t="s">
        <v>7</v>
      </c>
      <c r="B6" s="5" t="n">
        <v>12.57111</v>
      </c>
      <c r="C6" s="4" t="s">
        <v>8</v>
      </c>
    </row>
    <row r="7" customFormat="false" ht="15" hidden="false" customHeight="false" outlineLevel="0" collapsed="false">
      <c r="A7" s="4" t="s">
        <v>9</v>
      </c>
      <c r="B7" s="5" t="n">
        <v>140.32889</v>
      </c>
      <c r="C7" s="4" t="s">
        <v>10</v>
      </c>
    </row>
    <row r="8" customFormat="false" ht="15" hidden="false" customHeight="false" outlineLevel="0" collapsed="false">
      <c r="A8" s="4" t="s">
        <v>11</v>
      </c>
      <c r="B8" s="5" t="n">
        <v>3.56</v>
      </c>
      <c r="C8" s="4" t="s">
        <v>12</v>
      </c>
    </row>
    <row r="9" customFormat="false" ht="15" hidden="false" customHeight="false" outlineLevel="0" collapsed="false">
      <c r="A9" s="4" t="s">
        <v>13</v>
      </c>
      <c r="B9" s="5" t="n">
        <v>136.76889</v>
      </c>
      <c r="C9" s="4" t="s">
        <v>14</v>
      </c>
    </row>
    <row r="11" customFormat="false" ht="15" hidden="false" customHeight="false" outlineLevel="0" collapsed="false">
      <c r="A11" s="6" t="s">
        <v>15</v>
      </c>
      <c r="B11" s="7" t="s">
        <v>16</v>
      </c>
    </row>
    <row r="12" customFormat="false" ht="15" hidden="false" customHeight="false" outlineLevel="0" collapsed="false">
      <c r="A12" s="6" t="s">
        <v>17</v>
      </c>
      <c r="B12" s="7" t="s">
        <v>18</v>
      </c>
    </row>
    <row r="13" customFormat="false" ht="15" hidden="false" customHeight="false" outlineLevel="0" collapsed="false">
      <c r="A13" s="6" t="s">
        <v>19</v>
      </c>
      <c r="B13" s="7" t="s">
        <v>20</v>
      </c>
    </row>
    <row r="15" customFormat="false" ht="15" hidden="false" customHeight="false" outlineLevel="0" collapsed="false">
      <c r="A15" s="8"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20"/>
    <col collapsed="false" customWidth="true" hidden="false" outlineLevel="0" max="4" min="4" style="0" width="24"/>
  </cols>
  <sheetData>
    <row r="1" customFormat="false" ht="17.35" hidden="false" customHeight="false" outlineLevel="0" collapsed="false">
      <c r="A1" s="1" t="s">
        <v>22</v>
      </c>
    </row>
    <row r="2" customFormat="false" ht="15" hidden="false" customHeight="false" outlineLevel="0" collapsed="false">
      <c r="A2" s="2" t="s">
        <v>23</v>
      </c>
    </row>
    <row r="4" customFormat="false" ht="15" hidden="false" customHeight="false" outlineLevel="0" collapsed="false">
      <c r="A4" s="3" t="s">
        <v>24</v>
      </c>
      <c r="B4" s="3" t="s">
        <v>25</v>
      </c>
      <c r="C4" s="3" t="s">
        <v>26</v>
      </c>
      <c r="D4" s="3" t="s">
        <v>27</v>
      </c>
    </row>
    <row r="5" customFormat="false" ht="15" hidden="false" customHeight="false" outlineLevel="0" collapsed="false">
      <c r="A5" s="4" t="s">
        <v>28</v>
      </c>
      <c r="B5" s="9" t="n">
        <v>33</v>
      </c>
      <c r="C5" s="5" t="n">
        <v>2.535</v>
      </c>
      <c r="D5" s="5" t="n">
        <f aca="false">SUM($C$5:C5)</f>
        <v>2.535</v>
      </c>
    </row>
    <row r="6" customFormat="false" ht="15" hidden="false" customHeight="false" outlineLevel="0" collapsed="false">
      <c r="A6" s="4" t="s">
        <v>29</v>
      </c>
      <c r="B6" s="9" t="n">
        <v>27</v>
      </c>
      <c r="C6" s="5" t="n">
        <v>2.215</v>
      </c>
      <c r="D6" s="5" t="n">
        <f aca="false">SUM($C$5:C6)</f>
        <v>4.75</v>
      </c>
    </row>
    <row r="7" customFormat="false" ht="15" hidden="false" customHeight="false" outlineLevel="0" collapsed="false">
      <c r="A7" s="4" t="s">
        <v>30</v>
      </c>
      <c r="B7" s="9" t="n">
        <v>21</v>
      </c>
      <c r="C7" s="5" t="n">
        <v>1.12</v>
      </c>
      <c r="D7" s="5" t="n">
        <f aca="false">SUM($C$5:C7)</f>
        <v>5.87</v>
      </c>
    </row>
    <row r="8" customFormat="false" ht="15" hidden="false" customHeight="false" outlineLevel="0" collapsed="false">
      <c r="A8" s="4" t="s">
        <v>31</v>
      </c>
      <c r="B8" s="9" t="n">
        <v>39</v>
      </c>
      <c r="C8" s="5" t="n">
        <v>2.60696</v>
      </c>
      <c r="D8" s="5" t="n">
        <f aca="false">SUM($C$5:C8)</f>
        <v>8.47696</v>
      </c>
    </row>
    <row r="9" customFormat="false" ht="15" hidden="false" customHeight="false" outlineLevel="0" collapsed="false">
      <c r="A9" s="4" t="s">
        <v>32</v>
      </c>
      <c r="B9" s="9" t="n">
        <v>30</v>
      </c>
      <c r="C9" s="5" t="n">
        <v>1.89985</v>
      </c>
      <c r="D9" s="5" t="n">
        <f aca="false">SUM($C$5:C9)</f>
        <v>10.37681</v>
      </c>
    </row>
    <row r="10" customFormat="false" ht="15" hidden="false" customHeight="false" outlineLevel="0" collapsed="false">
      <c r="A10" s="4" t="s">
        <v>33</v>
      </c>
      <c r="B10" s="9" t="n">
        <v>25</v>
      </c>
      <c r="C10" s="5" t="n">
        <v>1.79</v>
      </c>
      <c r="D10" s="5" t="n">
        <f aca="false">SUM($C$5:C10)</f>
        <v>12.16681</v>
      </c>
    </row>
    <row r="11" customFormat="false" ht="15" hidden="false" customHeight="false" outlineLevel="0" collapsed="false">
      <c r="A11" s="4" t="s">
        <v>34</v>
      </c>
      <c r="B11" s="9" t="n">
        <v>10</v>
      </c>
      <c r="C11" s="5" t="n">
        <v>0.4043</v>
      </c>
      <c r="D11" s="5" t="n">
        <f aca="false">SUM($C$5:C11)</f>
        <v>12.57111</v>
      </c>
    </row>
    <row r="12" customFormat="false" ht="15" hidden="false" customHeight="false" outlineLevel="0" collapsed="false">
      <c r="A12" s="10" t="s">
        <v>35</v>
      </c>
      <c r="B12" s="11" t="n">
        <f aca="false">SUM(B5:B11)</f>
        <v>185</v>
      </c>
      <c r="C12" s="12" t="n">
        <f aca="false">SUM(C5:C11)</f>
        <v>12.57111</v>
      </c>
      <c r="D12"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8"/>
    <col collapsed="false" customWidth="true" hidden="false" outlineLevel="0" max="5" min="5" style="0" width="16"/>
    <col collapsed="false" customWidth="true" hidden="false" outlineLevel="0" max="6" min="6" style="0" width="12"/>
    <col collapsed="false" customWidth="true" hidden="false" outlineLevel="0" max="7" min="7" style="0" width="16"/>
  </cols>
  <sheetData>
    <row r="1" customFormat="false" ht="17.35" hidden="false" customHeight="false" outlineLevel="0" collapsed="false">
      <c r="A1" s="1" t="s">
        <v>36</v>
      </c>
    </row>
    <row r="2" customFormat="false" ht="15" hidden="false" customHeight="false" outlineLevel="0" collapsed="false">
      <c r="A2" s="2" t="s">
        <v>37</v>
      </c>
    </row>
    <row r="4" customFormat="false" ht="15" hidden="false" customHeight="false" outlineLevel="0" collapsed="false">
      <c r="A4" s="3" t="s">
        <v>38</v>
      </c>
      <c r="B4" s="3" t="s">
        <v>39</v>
      </c>
      <c r="C4" s="3" t="s">
        <v>40</v>
      </c>
      <c r="D4" s="3" t="s">
        <v>41</v>
      </c>
      <c r="E4" s="3" t="s">
        <v>42</v>
      </c>
      <c r="F4" s="3" t="s">
        <v>43</v>
      </c>
      <c r="G4" s="3" t="s">
        <v>44</v>
      </c>
    </row>
    <row r="5" customFormat="false" ht="15" hidden="false" customHeight="false" outlineLevel="0" collapsed="false">
      <c r="A5" s="4" t="s">
        <v>45</v>
      </c>
      <c r="B5" s="4" t="s">
        <v>46</v>
      </c>
      <c r="C5" s="5" t="n">
        <v>5</v>
      </c>
      <c r="D5" s="5" t="n">
        <v>10</v>
      </c>
      <c r="E5" s="5" t="n">
        <v>4.9</v>
      </c>
      <c r="F5" s="14" t="n">
        <f aca="false">IFERROR(D5*100000/(C5*10000000),0)</f>
        <v>0.02</v>
      </c>
      <c r="G5" s="15" t="s">
        <v>47</v>
      </c>
    </row>
    <row r="6" customFormat="false" ht="15" hidden="false" customHeight="false" outlineLevel="0" collapsed="false">
      <c r="A6" s="16" t="s">
        <v>48</v>
      </c>
      <c r="B6" s="16" t="s">
        <v>49</v>
      </c>
      <c r="C6" s="17" t="n">
        <v>4.4</v>
      </c>
      <c r="D6" s="17" t="n">
        <v>0</v>
      </c>
      <c r="E6" s="17" t="n">
        <v>4.4</v>
      </c>
      <c r="F6" s="18" t="n">
        <f aca="false">IFERROR(D6*100000/(C6*10000000),0)</f>
        <v>0</v>
      </c>
      <c r="G6" s="19" t="s">
        <v>50</v>
      </c>
    </row>
    <row r="7" customFormat="false" ht="15" hidden="false" customHeight="false" outlineLevel="0" collapsed="false">
      <c r="A7" s="4" t="s">
        <v>51</v>
      </c>
      <c r="B7" s="4" t="s">
        <v>52</v>
      </c>
      <c r="C7" s="5" t="n">
        <v>4.4</v>
      </c>
      <c r="D7" s="5" t="n">
        <v>10</v>
      </c>
      <c r="E7" s="5" t="n">
        <v>4.3</v>
      </c>
      <c r="F7" s="14" t="n">
        <f aca="false">IFERROR(D7*100000/(C7*10000000),0)</f>
        <v>0.0227272727272727</v>
      </c>
      <c r="G7" s="15" t="s">
        <v>47</v>
      </c>
    </row>
    <row r="8" customFormat="false" ht="15" hidden="false" customHeight="false" outlineLevel="0" collapsed="false">
      <c r="A8" s="4" t="s">
        <v>53</v>
      </c>
      <c r="B8" s="4" t="s">
        <v>54</v>
      </c>
      <c r="C8" s="5" t="n">
        <v>4.4</v>
      </c>
      <c r="D8" s="5" t="n">
        <v>10</v>
      </c>
      <c r="E8" s="5" t="n">
        <v>4.3</v>
      </c>
      <c r="F8" s="14" t="n">
        <f aca="false">IFERROR(D8*100000/(C8*10000000),0)</f>
        <v>0.0227272727272727</v>
      </c>
      <c r="G8" s="15" t="s">
        <v>47</v>
      </c>
    </row>
    <row r="9" customFormat="false" ht="15" hidden="false" customHeight="false" outlineLevel="0" collapsed="false">
      <c r="A9" s="4" t="s">
        <v>55</v>
      </c>
      <c r="B9" s="4" t="s">
        <v>56</v>
      </c>
      <c r="C9" s="5" t="n">
        <v>4.4</v>
      </c>
      <c r="D9" s="5" t="n">
        <v>16.111</v>
      </c>
      <c r="E9" s="5" t="n">
        <v>4.23889</v>
      </c>
      <c r="F9" s="14" t="n">
        <f aca="false">IFERROR(D9*100000/(C9*10000000),0)</f>
        <v>0.0366159090909091</v>
      </c>
      <c r="G9" s="15" t="s">
        <v>47</v>
      </c>
    </row>
    <row r="10" customFormat="false" ht="15" hidden="false" customHeight="false" outlineLevel="0" collapsed="false">
      <c r="A10" s="4" t="s">
        <v>57</v>
      </c>
      <c r="B10" s="4" t="s">
        <v>58</v>
      </c>
      <c r="C10" s="5" t="n">
        <v>4.4</v>
      </c>
      <c r="D10" s="5" t="n">
        <v>20</v>
      </c>
      <c r="E10" s="5" t="n">
        <v>4.2</v>
      </c>
      <c r="F10" s="14" t="n">
        <f aca="false">IFERROR(D10*100000/(C10*10000000),0)</f>
        <v>0.0454545454545455</v>
      </c>
      <c r="G10" s="15" t="s">
        <v>47</v>
      </c>
    </row>
    <row r="11" customFormat="false" ht="15" hidden="false" customHeight="false" outlineLevel="0" collapsed="false">
      <c r="A11" s="4" t="s">
        <v>59</v>
      </c>
      <c r="B11" s="4" t="s">
        <v>60</v>
      </c>
      <c r="C11" s="5" t="n">
        <v>4.4</v>
      </c>
      <c r="D11" s="5" t="n">
        <v>20</v>
      </c>
      <c r="E11" s="5" t="n">
        <v>4.2</v>
      </c>
      <c r="F11" s="14" t="n">
        <f aca="false">IFERROR(D11*100000/(C11*10000000),0)</f>
        <v>0.0454545454545455</v>
      </c>
      <c r="G11" s="15" t="s">
        <v>47</v>
      </c>
    </row>
    <row r="12" customFormat="false" ht="15" hidden="false" customHeight="false" outlineLevel="0" collapsed="false">
      <c r="A12" s="4" t="s">
        <v>61</v>
      </c>
      <c r="B12" s="4" t="s">
        <v>62</v>
      </c>
      <c r="C12" s="5" t="n">
        <v>4.4</v>
      </c>
      <c r="D12" s="5" t="n">
        <v>20</v>
      </c>
      <c r="E12" s="5" t="n">
        <v>4.2</v>
      </c>
      <c r="F12" s="14" t="n">
        <f aca="false">IFERROR(D12*100000/(C12*10000000),0)</f>
        <v>0.0454545454545455</v>
      </c>
      <c r="G12" s="15" t="s">
        <v>47</v>
      </c>
    </row>
    <row r="13" customFormat="false" ht="15" hidden="false" customHeight="false" outlineLevel="0" collapsed="false">
      <c r="A13" s="4" t="s">
        <v>63</v>
      </c>
      <c r="B13" s="4" t="s">
        <v>64</v>
      </c>
      <c r="C13" s="5" t="n">
        <v>4.4</v>
      </c>
      <c r="D13" s="5" t="n">
        <v>30</v>
      </c>
      <c r="E13" s="5" t="n">
        <v>4.1</v>
      </c>
      <c r="F13" s="14" t="n">
        <f aca="false">IFERROR(D13*100000/(C13*10000000),0)</f>
        <v>0.0681818181818182</v>
      </c>
      <c r="G13" s="15" t="s">
        <v>47</v>
      </c>
    </row>
    <row r="14" customFormat="false" ht="15" hidden="false" customHeight="false" outlineLevel="0" collapsed="false">
      <c r="A14" s="4" t="s">
        <v>65</v>
      </c>
      <c r="B14" s="4" t="s">
        <v>66</v>
      </c>
      <c r="C14" s="5" t="n">
        <v>4.4</v>
      </c>
      <c r="D14" s="5" t="n">
        <v>30</v>
      </c>
      <c r="E14" s="5" t="n">
        <v>4.1</v>
      </c>
      <c r="F14" s="14" t="n">
        <f aca="false">IFERROR(D14*100000/(C14*10000000),0)</f>
        <v>0.0681818181818182</v>
      </c>
      <c r="G14" s="15" t="s">
        <v>47</v>
      </c>
    </row>
    <row r="15" customFormat="false" ht="15" hidden="false" customHeight="false" outlineLevel="0" collapsed="false">
      <c r="A15" s="4" t="s">
        <v>67</v>
      </c>
      <c r="B15" s="4" t="s">
        <v>68</v>
      </c>
      <c r="C15" s="5" t="n">
        <v>4.4</v>
      </c>
      <c r="D15" s="5" t="n">
        <v>32.5</v>
      </c>
      <c r="E15" s="5" t="n">
        <v>4.075</v>
      </c>
      <c r="F15" s="14" t="n">
        <f aca="false">IFERROR(D15*100000/(C15*10000000),0)</f>
        <v>0.0738636363636364</v>
      </c>
      <c r="G15" s="15" t="s">
        <v>47</v>
      </c>
    </row>
    <row r="16" customFormat="false" ht="15" hidden="false" customHeight="false" outlineLevel="0" collapsed="false">
      <c r="A16" s="4" t="s">
        <v>69</v>
      </c>
      <c r="B16" s="4" t="s">
        <v>70</v>
      </c>
      <c r="C16" s="5" t="n">
        <v>4.4</v>
      </c>
      <c r="D16" s="5" t="n">
        <v>35</v>
      </c>
      <c r="E16" s="5" t="n">
        <v>4.05</v>
      </c>
      <c r="F16" s="14" t="n">
        <f aca="false">IFERROR(D16*100000/(C16*10000000),0)</f>
        <v>0.0795454545454545</v>
      </c>
      <c r="G16" s="15" t="s">
        <v>47</v>
      </c>
    </row>
    <row r="17" customFormat="false" ht="15" hidden="false" customHeight="false" outlineLevel="0" collapsed="false">
      <c r="A17" s="4" t="s">
        <v>71</v>
      </c>
      <c r="B17" s="4" t="s">
        <v>72</v>
      </c>
      <c r="C17" s="5" t="n">
        <v>4.4</v>
      </c>
      <c r="D17" s="5" t="n">
        <v>35</v>
      </c>
      <c r="E17" s="5" t="n">
        <v>4.05</v>
      </c>
      <c r="F17" s="14" t="n">
        <f aca="false">IFERROR(D17*100000/(C17*10000000),0)</f>
        <v>0.0795454545454545</v>
      </c>
      <c r="G17" s="15" t="s">
        <v>47</v>
      </c>
    </row>
    <row r="18" customFormat="false" ht="15" hidden="false" customHeight="false" outlineLevel="0" collapsed="false">
      <c r="A18" s="4" t="s">
        <v>73</v>
      </c>
      <c r="B18" s="4" t="s">
        <v>74</v>
      </c>
      <c r="C18" s="5" t="n">
        <v>4.4</v>
      </c>
      <c r="D18" s="5" t="n">
        <v>40</v>
      </c>
      <c r="E18" s="5" t="n">
        <v>4</v>
      </c>
      <c r="F18" s="14" t="n">
        <f aca="false">IFERROR(D18*100000/(C18*10000000),0)</f>
        <v>0.0909090909090909</v>
      </c>
      <c r="G18" s="15" t="s">
        <v>47</v>
      </c>
    </row>
    <row r="19" customFormat="false" ht="15" hidden="false" customHeight="false" outlineLevel="0" collapsed="false">
      <c r="A19" s="4" t="s">
        <v>75</v>
      </c>
      <c r="B19" s="4" t="s">
        <v>76</v>
      </c>
      <c r="C19" s="5" t="n">
        <v>4.4</v>
      </c>
      <c r="D19" s="5" t="n">
        <v>40</v>
      </c>
      <c r="E19" s="5" t="n">
        <v>4</v>
      </c>
      <c r="F19" s="14" t="n">
        <f aca="false">IFERROR(D19*100000/(C19*10000000),0)</f>
        <v>0.0909090909090909</v>
      </c>
      <c r="G19" s="15" t="s">
        <v>47</v>
      </c>
    </row>
    <row r="20" customFormat="false" ht="15" hidden="false" customHeight="false" outlineLevel="0" collapsed="false">
      <c r="A20" s="4" t="s">
        <v>77</v>
      </c>
      <c r="B20" s="4" t="s">
        <v>78</v>
      </c>
      <c r="C20" s="5" t="n">
        <v>4.4</v>
      </c>
      <c r="D20" s="5" t="n">
        <v>40</v>
      </c>
      <c r="E20" s="5" t="n">
        <v>4</v>
      </c>
      <c r="F20" s="14" t="n">
        <f aca="false">IFERROR(D20*100000/(C20*10000000),0)</f>
        <v>0.0909090909090909</v>
      </c>
      <c r="G20" s="15" t="s">
        <v>47</v>
      </c>
    </row>
    <row r="21" customFormat="false" ht="15" hidden="false" customHeight="false" outlineLevel="0" collapsed="false">
      <c r="A21" s="4" t="s">
        <v>79</v>
      </c>
      <c r="B21" s="4" t="s">
        <v>80</v>
      </c>
      <c r="C21" s="5" t="n">
        <v>4.4</v>
      </c>
      <c r="D21" s="5" t="n">
        <v>40</v>
      </c>
      <c r="E21" s="5" t="n">
        <v>4</v>
      </c>
      <c r="F21" s="14" t="n">
        <f aca="false">IFERROR(D21*100000/(C21*10000000),0)</f>
        <v>0.0909090909090909</v>
      </c>
      <c r="G21" s="15" t="s">
        <v>47</v>
      </c>
    </row>
    <row r="22" customFormat="false" ht="15" hidden="false" customHeight="false" outlineLevel="0" collapsed="false">
      <c r="A22" s="4" t="s">
        <v>81</v>
      </c>
      <c r="B22" s="4" t="s">
        <v>82</v>
      </c>
      <c r="C22" s="5" t="n">
        <v>4.4</v>
      </c>
      <c r="D22" s="5" t="n">
        <v>40</v>
      </c>
      <c r="E22" s="5" t="n">
        <v>4</v>
      </c>
      <c r="F22" s="14" t="n">
        <f aca="false">IFERROR(D22*100000/(C22*10000000),0)</f>
        <v>0.0909090909090909</v>
      </c>
      <c r="G22" s="15" t="s">
        <v>47</v>
      </c>
    </row>
    <row r="23" customFormat="false" ht="15" hidden="false" customHeight="false" outlineLevel="0" collapsed="false">
      <c r="A23" s="4" t="s">
        <v>83</v>
      </c>
      <c r="B23" s="4" t="s">
        <v>84</v>
      </c>
      <c r="C23" s="5" t="n">
        <v>4.4</v>
      </c>
      <c r="D23" s="5" t="n">
        <v>40</v>
      </c>
      <c r="E23" s="5" t="n">
        <v>4</v>
      </c>
      <c r="F23" s="14" t="n">
        <f aca="false">IFERROR(D23*100000/(C23*10000000),0)</f>
        <v>0.0909090909090909</v>
      </c>
      <c r="G23" s="15" t="s">
        <v>47</v>
      </c>
    </row>
    <row r="24" customFormat="false" ht="15" hidden="false" customHeight="false" outlineLevel="0" collapsed="false">
      <c r="A24" s="16" t="s">
        <v>85</v>
      </c>
      <c r="B24" s="16" t="s">
        <v>86</v>
      </c>
      <c r="C24" s="17" t="n">
        <v>4</v>
      </c>
      <c r="D24" s="17" t="n">
        <v>0</v>
      </c>
      <c r="E24" s="17" t="n">
        <v>4</v>
      </c>
      <c r="F24" s="18" t="n">
        <f aca="false">IFERROR(D24*100000/(C24*10000000),0)</f>
        <v>0</v>
      </c>
      <c r="G24" s="19" t="s">
        <v>50</v>
      </c>
    </row>
    <row r="25" customFormat="false" ht="15" hidden="false" customHeight="false" outlineLevel="0" collapsed="false">
      <c r="A25" s="4" t="s">
        <v>87</v>
      </c>
      <c r="B25" s="4" t="s">
        <v>88</v>
      </c>
      <c r="C25" s="5" t="n">
        <v>4.4</v>
      </c>
      <c r="D25" s="5" t="n">
        <v>40</v>
      </c>
      <c r="E25" s="5" t="n">
        <v>4</v>
      </c>
      <c r="F25" s="14" t="n">
        <f aca="false">IFERROR(D25*100000/(C25*10000000),0)</f>
        <v>0.0909090909090909</v>
      </c>
      <c r="G25" s="15" t="s">
        <v>47</v>
      </c>
    </row>
    <row r="26" customFormat="false" ht="15" hidden="false" customHeight="false" outlineLevel="0" collapsed="false">
      <c r="A26" s="4" t="s">
        <v>89</v>
      </c>
      <c r="B26" s="4" t="s">
        <v>90</v>
      </c>
      <c r="C26" s="5" t="n">
        <v>4.4</v>
      </c>
      <c r="D26" s="5" t="n">
        <v>40</v>
      </c>
      <c r="E26" s="5" t="n">
        <v>4</v>
      </c>
      <c r="F26" s="14" t="n">
        <f aca="false">IFERROR(D26*100000/(C26*10000000),0)</f>
        <v>0.0909090909090909</v>
      </c>
      <c r="G26" s="15" t="s">
        <v>47</v>
      </c>
    </row>
    <row r="27" customFormat="false" ht="15" hidden="false" customHeight="false" outlineLevel="0" collapsed="false">
      <c r="A27" s="4" t="s">
        <v>91</v>
      </c>
      <c r="B27" s="4" t="s">
        <v>92</v>
      </c>
      <c r="C27" s="5" t="n">
        <v>4.4</v>
      </c>
      <c r="D27" s="5" t="n">
        <v>50</v>
      </c>
      <c r="E27" s="5" t="n">
        <v>3.9</v>
      </c>
      <c r="F27" s="14" t="n">
        <f aca="false">IFERROR(D27*100000/(C27*10000000),0)</f>
        <v>0.113636363636364</v>
      </c>
      <c r="G27" s="15" t="s">
        <v>47</v>
      </c>
    </row>
    <row r="28" customFormat="false" ht="15" hidden="false" customHeight="false" outlineLevel="0" collapsed="false">
      <c r="A28" s="4" t="s">
        <v>93</v>
      </c>
      <c r="B28" s="4" t="s">
        <v>94</v>
      </c>
      <c r="C28" s="5" t="n">
        <v>4.4</v>
      </c>
      <c r="D28" s="5" t="n">
        <v>50</v>
      </c>
      <c r="E28" s="5" t="n">
        <v>3.9</v>
      </c>
      <c r="F28" s="14" t="n">
        <f aca="false">IFERROR(D28*100000/(C28*10000000),0)</f>
        <v>0.113636363636364</v>
      </c>
      <c r="G28" s="15" t="s">
        <v>47</v>
      </c>
    </row>
    <row r="29" customFormat="false" ht="15" hidden="false" customHeight="false" outlineLevel="0" collapsed="false">
      <c r="A29" s="4" t="s">
        <v>95</v>
      </c>
      <c r="B29" s="4" t="s">
        <v>96</v>
      </c>
      <c r="C29" s="5" t="n">
        <v>4.4</v>
      </c>
      <c r="D29" s="5" t="n">
        <v>51.5</v>
      </c>
      <c r="E29" s="5" t="n">
        <v>3.885</v>
      </c>
      <c r="F29" s="14" t="n">
        <f aca="false">IFERROR(D29*100000/(C29*10000000),0)</f>
        <v>0.117045454545455</v>
      </c>
      <c r="G29" s="15" t="s">
        <v>47</v>
      </c>
    </row>
    <row r="30" customFormat="false" ht="15" hidden="false" customHeight="false" outlineLevel="0" collapsed="false">
      <c r="A30" s="4" t="s">
        <v>97</v>
      </c>
      <c r="B30" s="4" t="s">
        <v>98</v>
      </c>
      <c r="C30" s="5" t="n">
        <v>4</v>
      </c>
      <c r="D30" s="5" t="n">
        <v>20</v>
      </c>
      <c r="E30" s="5" t="n">
        <v>3.8</v>
      </c>
      <c r="F30" s="14" t="n">
        <f aca="false">IFERROR(D30*100000/(C30*10000000),0)</f>
        <v>0.05</v>
      </c>
      <c r="G30" s="15" t="s">
        <v>47</v>
      </c>
    </row>
    <row r="31" customFormat="false" ht="15" hidden="false" customHeight="false" outlineLevel="0" collapsed="false">
      <c r="A31" s="4" t="s">
        <v>99</v>
      </c>
      <c r="B31" s="4" t="s">
        <v>100</v>
      </c>
      <c r="C31" s="5" t="n">
        <v>4</v>
      </c>
      <c r="D31" s="5" t="n">
        <v>20</v>
      </c>
      <c r="E31" s="5" t="n">
        <v>3.8</v>
      </c>
      <c r="F31" s="14" t="n">
        <f aca="false">IFERROR(D31*100000/(C31*10000000),0)</f>
        <v>0.05</v>
      </c>
      <c r="G31" s="15" t="s">
        <v>47</v>
      </c>
    </row>
    <row r="32" customFormat="false" ht="15" hidden="false" customHeight="false" outlineLevel="0" collapsed="false">
      <c r="A32" s="4" t="s">
        <v>101</v>
      </c>
      <c r="B32" s="4" t="s">
        <v>102</v>
      </c>
      <c r="C32" s="5" t="n">
        <v>4.4</v>
      </c>
      <c r="D32" s="5" t="n">
        <v>70</v>
      </c>
      <c r="E32" s="5" t="n">
        <v>3.7</v>
      </c>
      <c r="F32" s="14" t="n">
        <f aca="false">IFERROR(D32*100000/(C32*10000000),0)</f>
        <v>0.159090909090909</v>
      </c>
      <c r="G32" s="15" t="s">
        <v>47</v>
      </c>
    </row>
    <row r="33" customFormat="false" ht="15" hidden="false" customHeight="false" outlineLevel="0" collapsed="false">
      <c r="A33" s="4" t="s">
        <v>103</v>
      </c>
      <c r="B33" s="4" t="s">
        <v>104</v>
      </c>
      <c r="C33" s="5" t="n">
        <v>4</v>
      </c>
      <c r="D33" s="5" t="n">
        <v>35</v>
      </c>
      <c r="E33" s="5" t="n">
        <v>3.65</v>
      </c>
      <c r="F33" s="14" t="n">
        <f aca="false">IFERROR(D33*100000/(C33*10000000),0)</f>
        <v>0.0875</v>
      </c>
      <c r="G33" s="15" t="s">
        <v>47</v>
      </c>
    </row>
    <row r="34" customFormat="false" ht="15" hidden="false" customHeight="false" outlineLevel="0" collapsed="false">
      <c r="A34" s="4" t="s">
        <v>105</v>
      </c>
      <c r="B34" s="4" t="s">
        <v>106</v>
      </c>
      <c r="C34" s="5" t="n">
        <v>4.4</v>
      </c>
      <c r="D34" s="5" t="n">
        <v>75</v>
      </c>
      <c r="E34" s="5" t="n">
        <v>3.65</v>
      </c>
      <c r="F34" s="14" t="n">
        <f aca="false">IFERROR(D34*100000/(C34*10000000),0)</f>
        <v>0.170454545454545</v>
      </c>
      <c r="G34" s="15" t="s">
        <v>47</v>
      </c>
    </row>
    <row r="35" customFormat="false" ht="15" hidden="false" customHeight="false" outlineLevel="0" collapsed="false">
      <c r="A35" s="4" t="s">
        <v>107</v>
      </c>
      <c r="B35" s="4" t="s">
        <v>108</v>
      </c>
      <c r="C35" s="5" t="n">
        <v>4.4</v>
      </c>
      <c r="D35" s="5" t="n">
        <v>80</v>
      </c>
      <c r="E35" s="5" t="n">
        <v>3.6</v>
      </c>
      <c r="F35" s="14" t="n">
        <f aca="false">IFERROR(D35*100000/(C35*10000000),0)</f>
        <v>0.181818181818182</v>
      </c>
      <c r="G35" s="15" t="s">
        <v>47</v>
      </c>
    </row>
    <row r="36" customFormat="false" ht="15" hidden="false" customHeight="false" outlineLevel="0" collapsed="false">
      <c r="A36" s="4" t="s">
        <v>109</v>
      </c>
      <c r="B36" s="4" t="s">
        <v>110</v>
      </c>
      <c r="C36" s="5" t="n">
        <v>4</v>
      </c>
      <c r="D36" s="5" t="n">
        <v>50</v>
      </c>
      <c r="E36" s="5" t="n">
        <v>3.5</v>
      </c>
      <c r="F36" s="14" t="n">
        <f aca="false">IFERROR(D36*100000/(C36*10000000),0)</f>
        <v>0.125</v>
      </c>
      <c r="G36" s="15" t="s">
        <v>47</v>
      </c>
    </row>
    <row r="37" customFormat="false" ht="15" hidden="false" customHeight="false" outlineLevel="0" collapsed="false">
      <c r="A37" s="4" t="s">
        <v>111</v>
      </c>
      <c r="B37" s="4" t="s">
        <v>112</v>
      </c>
      <c r="C37" s="5" t="n">
        <v>4</v>
      </c>
      <c r="D37" s="5" t="n">
        <v>70</v>
      </c>
      <c r="E37" s="5" t="n">
        <v>3.3</v>
      </c>
      <c r="F37" s="14" t="n">
        <f aca="false">IFERROR(D37*100000/(C37*10000000),0)</f>
        <v>0.175</v>
      </c>
      <c r="G37" s="15" t="s">
        <v>47</v>
      </c>
    </row>
    <row r="38" customFormat="false" ht="15" hidden="false" customHeight="false" outlineLevel="0" collapsed="false">
      <c r="A38" s="4" t="s">
        <v>113</v>
      </c>
      <c r="B38" s="4" t="s">
        <v>114</v>
      </c>
      <c r="C38" s="5" t="n">
        <v>3.25</v>
      </c>
      <c r="D38" s="5" t="n">
        <v>20</v>
      </c>
      <c r="E38" s="5" t="n">
        <v>3.05</v>
      </c>
      <c r="F38" s="14" t="n">
        <f aca="false">IFERROR(D38*100000/(C38*10000000),0)</f>
        <v>0.0615384615384615</v>
      </c>
      <c r="G38" s="15" t="s">
        <v>47</v>
      </c>
    </row>
    <row r="39" customFormat="false" ht="15" hidden="false" customHeight="false" outlineLevel="0" collapsed="false">
      <c r="A39" s="4" t="s">
        <v>115</v>
      </c>
      <c r="B39" s="4" t="s">
        <v>116</v>
      </c>
      <c r="C39" s="5" t="n">
        <v>3</v>
      </c>
      <c r="D39" s="5" t="n">
        <v>12</v>
      </c>
      <c r="E39" s="5" t="n">
        <v>2.88</v>
      </c>
      <c r="F39" s="14" t="n">
        <f aca="false">IFERROR(D39*100000/(C39*10000000),0)</f>
        <v>0.04</v>
      </c>
      <c r="G39" s="15" t="s">
        <v>47</v>
      </c>
    </row>
    <row r="40" customFormat="false" ht="15" hidden="false" customHeight="false" outlineLevel="0" collapsed="false">
      <c r="A40" s="4" t="s">
        <v>117</v>
      </c>
      <c r="B40" s="4" t="s">
        <v>118</v>
      </c>
      <c r="C40" s="5" t="n">
        <v>3.25</v>
      </c>
      <c r="D40" s="5" t="n">
        <v>65</v>
      </c>
      <c r="E40" s="5" t="n">
        <v>2.6</v>
      </c>
      <c r="F40" s="14" t="n">
        <f aca="false">IFERROR(D40*100000/(C40*10000000),0)</f>
        <v>0.2</v>
      </c>
      <c r="G40" s="1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5"/>
    <col collapsed="false" customWidth="true" hidden="false" outlineLevel="0" max="3" min="3" style="0" width="18"/>
    <col collapsed="false" customWidth="true" hidden="false" outlineLevel="0" max="4" min="4" style="0" width="20"/>
    <col collapsed="false" customWidth="true" hidden="false" outlineLevel="0" max="5" min="5" style="0" width="62"/>
  </cols>
  <sheetData>
    <row r="1" customFormat="false" ht="17.35" hidden="false" customHeight="false" outlineLevel="0" collapsed="false">
      <c r="A1" s="1" t="s">
        <v>119</v>
      </c>
    </row>
    <row r="2" customFormat="false" ht="15" hidden="false" customHeight="false" outlineLevel="0" collapsed="false">
      <c r="A2" s="2" t="s">
        <v>120</v>
      </c>
    </row>
    <row r="4" customFormat="false" ht="26.85" hidden="false" customHeight="false" outlineLevel="0" collapsed="false">
      <c r="A4" s="3" t="s">
        <v>121</v>
      </c>
      <c r="B4" s="3" t="s">
        <v>122</v>
      </c>
      <c r="C4" s="3" t="s">
        <v>3</v>
      </c>
      <c r="D4" s="3" t="s">
        <v>123</v>
      </c>
      <c r="E4" s="3" t="s">
        <v>4</v>
      </c>
    </row>
    <row r="5" customFormat="false" ht="15" hidden="false" customHeight="false" outlineLevel="0" collapsed="false">
      <c r="A5" s="4" t="s">
        <v>124</v>
      </c>
      <c r="B5" s="9" t="n">
        <v>128</v>
      </c>
      <c r="C5" s="5" t="n">
        <v>8.83866</v>
      </c>
      <c r="D5" s="4" t="s">
        <v>125</v>
      </c>
      <c r="E5" s="4" t="s">
        <v>126</v>
      </c>
    </row>
    <row r="6" customFormat="false" ht="15" hidden="false" customHeight="false" outlineLevel="0" collapsed="false">
      <c r="A6" s="4" t="s">
        <v>127</v>
      </c>
      <c r="B6" s="9" t="n">
        <v>66</v>
      </c>
      <c r="C6" s="5" t="n">
        <v>3.56</v>
      </c>
      <c r="D6" s="4" t="s">
        <v>47</v>
      </c>
      <c r="E6" s="4" t="s">
        <v>128</v>
      </c>
    </row>
    <row r="7" customFormat="false" ht="15" hidden="false" customHeight="false" outlineLevel="0" collapsed="false">
      <c r="A7" s="4" t="s">
        <v>129</v>
      </c>
      <c r="B7" s="9" t="n">
        <v>52</v>
      </c>
      <c r="C7" s="5" t="n">
        <v>3.49245</v>
      </c>
      <c r="D7" s="4" t="s">
        <v>125</v>
      </c>
      <c r="E7" s="4" t="s">
        <v>130</v>
      </c>
    </row>
    <row r="8" customFormat="false" ht="15" hidden="false" customHeight="false" outlineLevel="0" collapsed="false">
      <c r="A8" s="4" t="s">
        <v>131</v>
      </c>
      <c r="B8" s="9" t="n">
        <v>5</v>
      </c>
      <c r="C8" s="5" t="n">
        <v>0.24</v>
      </c>
      <c r="D8" s="4" t="s">
        <v>125</v>
      </c>
      <c r="E8" s="4" t="s">
        <v>132</v>
      </c>
    </row>
    <row r="9" customFormat="false" ht="15" hidden="false" customHeight="false" outlineLevel="0" collapsed="false">
      <c r="A9" s="4" t="s">
        <v>133</v>
      </c>
      <c r="B9" s="9" t="n">
        <v>4</v>
      </c>
      <c r="C9" s="5" t="n">
        <v>0.199</v>
      </c>
      <c r="D9" s="4" t="s">
        <v>47</v>
      </c>
      <c r="E9" s="4" t="s">
        <v>134</v>
      </c>
    </row>
    <row r="10" customFormat="false" ht="15" hidden="false" customHeight="false" outlineLevel="0" collapsed="false">
      <c r="A10" s="10" t="s">
        <v>35</v>
      </c>
      <c r="B10" s="11" t="n">
        <f aca="false">SUM(B5:B9)</f>
        <v>255</v>
      </c>
      <c r="C10" s="12" t="n">
        <f aca="false">SUM(C5:C9)</f>
        <v>16.33011</v>
      </c>
      <c r="D10" s="13"/>
      <c r="E1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1" topLeftCell="A2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3"/>
    <col collapsed="false" customWidth="true" hidden="false" outlineLevel="0" max="4" min="4" style="0" width="16"/>
    <col collapsed="false" customWidth="true" hidden="false" outlineLevel="0" max="5" min="5" style="0" width="17"/>
    <col collapsed="false" customWidth="true" hidden="false" outlineLevel="0" max="6" min="6" style="0" width="18"/>
    <col collapsed="false" customWidth="true" hidden="false" outlineLevel="0" max="7" min="7" style="0" width="12"/>
    <col collapsed="false" customWidth="true" hidden="false" outlineLevel="0" max="8" min="8" style="0" width="16"/>
  </cols>
  <sheetData>
    <row r="1" customFormat="false" ht="17.35" hidden="false" customHeight="false" outlineLevel="0" collapsed="false">
      <c r="A1" s="1" t="s">
        <v>135</v>
      </c>
    </row>
    <row r="2" customFormat="false" ht="15" hidden="false" customHeight="false" outlineLevel="0" collapsed="false">
      <c r="A2" s="2" t="s">
        <v>136</v>
      </c>
    </row>
    <row r="4" customFormat="false" ht="15" hidden="false" customHeight="false" outlineLevel="0" collapsed="false">
      <c r="A4" s="3" t="s">
        <v>38</v>
      </c>
      <c r="B4" s="3" t="s">
        <v>39</v>
      </c>
      <c r="C4" s="3" t="s">
        <v>137</v>
      </c>
      <c r="D4" s="3" t="s">
        <v>138</v>
      </c>
      <c r="E4" s="3" t="s">
        <v>139</v>
      </c>
      <c r="F4" s="3" t="s">
        <v>140</v>
      </c>
      <c r="G4" s="3" t="s">
        <v>121</v>
      </c>
      <c r="H4" s="3" t="s">
        <v>141</v>
      </c>
    </row>
    <row r="5" customFormat="false" ht="15" hidden="false" customHeight="false" outlineLevel="0" collapsed="false">
      <c r="A5" s="4" t="s">
        <v>69</v>
      </c>
      <c r="B5" s="4" t="s">
        <v>70</v>
      </c>
      <c r="C5" s="4" t="s">
        <v>142</v>
      </c>
      <c r="D5" s="5" t="n">
        <v>10</v>
      </c>
      <c r="E5" s="4" t="s">
        <v>143</v>
      </c>
      <c r="F5" s="4" t="s">
        <v>144</v>
      </c>
      <c r="G5" s="4" t="s">
        <v>124</v>
      </c>
      <c r="H5" s="4" t="s">
        <v>145</v>
      </c>
    </row>
    <row r="6" customFormat="false" ht="15" hidden="false" customHeight="false" outlineLevel="0" collapsed="false">
      <c r="A6" s="4" t="s">
        <v>69</v>
      </c>
      <c r="B6" s="4" t="s">
        <v>70</v>
      </c>
      <c r="C6" s="4" t="s">
        <v>142</v>
      </c>
      <c r="D6" s="5" t="n">
        <v>10</v>
      </c>
      <c r="E6" s="4" t="s">
        <v>143</v>
      </c>
      <c r="F6" s="4" t="s">
        <v>144</v>
      </c>
      <c r="G6" s="4" t="s">
        <v>124</v>
      </c>
      <c r="H6" s="4" t="s">
        <v>146</v>
      </c>
    </row>
    <row r="7" customFormat="false" ht="15" hidden="false" customHeight="false" outlineLevel="0" collapsed="false">
      <c r="A7" s="4" t="s">
        <v>101</v>
      </c>
      <c r="B7" s="4" t="s">
        <v>102</v>
      </c>
      <c r="C7" s="4" t="s">
        <v>142</v>
      </c>
      <c r="D7" s="5" t="n">
        <v>5</v>
      </c>
      <c r="E7" s="4" t="s">
        <v>143</v>
      </c>
      <c r="F7" s="4" t="s">
        <v>147</v>
      </c>
      <c r="G7" s="4" t="s">
        <v>124</v>
      </c>
      <c r="H7" s="4" t="s">
        <v>145</v>
      </c>
    </row>
    <row r="8" customFormat="false" ht="15" hidden="false" customHeight="false" outlineLevel="0" collapsed="false">
      <c r="A8" s="4" t="s">
        <v>101</v>
      </c>
      <c r="B8" s="4" t="s">
        <v>102</v>
      </c>
      <c r="C8" s="4" t="s">
        <v>142</v>
      </c>
      <c r="D8" s="5" t="n">
        <v>5</v>
      </c>
      <c r="E8" s="4" t="s">
        <v>143</v>
      </c>
      <c r="F8" s="4" t="s">
        <v>147</v>
      </c>
      <c r="G8" s="4" t="s">
        <v>124</v>
      </c>
      <c r="H8" s="4" t="s">
        <v>146</v>
      </c>
    </row>
    <row r="9" customFormat="false" ht="15" hidden="false" customHeight="false" outlineLevel="0" collapsed="false">
      <c r="A9" s="4" t="s">
        <v>75</v>
      </c>
      <c r="B9" s="4" t="s">
        <v>76</v>
      </c>
      <c r="C9" s="4" t="s">
        <v>142</v>
      </c>
      <c r="D9" s="5" t="n">
        <v>10</v>
      </c>
      <c r="E9" s="4" t="s">
        <v>143</v>
      </c>
      <c r="F9" s="4" t="s">
        <v>148</v>
      </c>
      <c r="G9" s="4" t="s">
        <v>124</v>
      </c>
      <c r="H9" s="4" t="s">
        <v>145</v>
      </c>
    </row>
    <row r="10" customFormat="false" ht="15" hidden="false" customHeight="false" outlineLevel="0" collapsed="false">
      <c r="A10" s="4" t="s">
        <v>75</v>
      </c>
      <c r="B10" s="4" t="s">
        <v>76</v>
      </c>
      <c r="C10" s="4" t="s">
        <v>142</v>
      </c>
      <c r="D10" s="5" t="n">
        <v>10</v>
      </c>
      <c r="E10" s="4" t="s">
        <v>143</v>
      </c>
      <c r="F10" s="4" t="s">
        <v>148</v>
      </c>
      <c r="G10" s="4" t="s">
        <v>124</v>
      </c>
      <c r="H10" s="4" t="s">
        <v>146</v>
      </c>
    </row>
    <row r="11" customFormat="false" ht="15" hidden="false" customHeight="false" outlineLevel="0" collapsed="false">
      <c r="A11" s="4" t="s">
        <v>93</v>
      </c>
      <c r="B11" s="4" t="s">
        <v>94</v>
      </c>
      <c r="C11" s="4" t="s">
        <v>149</v>
      </c>
      <c r="D11" s="5" t="n">
        <v>5</v>
      </c>
      <c r="E11" s="4" t="s">
        <v>143</v>
      </c>
      <c r="F11" s="4" t="s">
        <v>150</v>
      </c>
      <c r="G11" s="4" t="s">
        <v>124</v>
      </c>
      <c r="H11" s="4" t="s">
        <v>145</v>
      </c>
    </row>
    <row r="12" customFormat="false" ht="15" hidden="false" customHeight="false" outlineLevel="0" collapsed="false">
      <c r="A12" s="4" t="s">
        <v>93</v>
      </c>
      <c r="B12" s="4" t="s">
        <v>94</v>
      </c>
      <c r="C12" s="4" t="s">
        <v>149</v>
      </c>
      <c r="D12" s="5" t="n">
        <v>5</v>
      </c>
      <c r="E12" s="4" t="s">
        <v>143</v>
      </c>
      <c r="F12" s="4" t="s">
        <v>150</v>
      </c>
      <c r="G12" s="4" t="s">
        <v>124</v>
      </c>
      <c r="H12" s="4" t="s">
        <v>146</v>
      </c>
    </row>
    <row r="13" customFormat="false" ht="15" hidden="false" customHeight="false" outlineLevel="0" collapsed="false">
      <c r="A13" s="4" t="s">
        <v>105</v>
      </c>
      <c r="B13" s="4" t="s">
        <v>106</v>
      </c>
      <c r="C13" s="4" t="s">
        <v>151</v>
      </c>
      <c r="D13" s="5" t="n">
        <v>5</v>
      </c>
      <c r="E13" s="4" t="s">
        <v>143</v>
      </c>
      <c r="F13" s="4" t="s">
        <v>152</v>
      </c>
      <c r="G13" s="4" t="s">
        <v>124</v>
      </c>
      <c r="H13" s="4" t="s">
        <v>145</v>
      </c>
    </row>
    <row r="14" customFormat="false" ht="15" hidden="false" customHeight="false" outlineLevel="0" collapsed="false">
      <c r="A14" s="4" t="s">
        <v>105</v>
      </c>
      <c r="B14" s="4" t="s">
        <v>106</v>
      </c>
      <c r="C14" s="4" t="s">
        <v>151</v>
      </c>
      <c r="D14" s="5" t="n">
        <v>5</v>
      </c>
      <c r="E14" s="4" t="s">
        <v>143</v>
      </c>
      <c r="F14" s="4" t="s">
        <v>152</v>
      </c>
      <c r="G14" s="4" t="s">
        <v>124</v>
      </c>
      <c r="H14" s="4" t="s">
        <v>146</v>
      </c>
    </row>
    <row r="15" customFormat="false" ht="15" hidden="false" customHeight="false" outlineLevel="0" collapsed="false">
      <c r="A15" s="4" t="s">
        <v>105</v>
      </c>
      <c r="B15" s="4" t="s">
        <v>106</v>
      </c>
      <c r="C15" s="4" t="s">
        <v>151</v>
      </c>
      <c r="D15" s="5" t="n">
        <v>5</v>
      </c>
      <c r="E15" s="4" t="s">
        <v>143</v>
      </c>
      <c r="F15" s="4" t="s">
        <v>152</v>
      </c>
      <c r="G15" s="4" t="s">
        <v>124</v>
      </c>
      <c r="H15" s="4" t="s">
        <v>146</v>
      </c>
    </row>
    <row r="16" customFormat="false" ht="15" hidden="false" customHeight="false" outlineLevel="0" collapsed="false">
      <c r="A16" s="4" t="s">
        <v>105</v>
      </c>
      <c r="B16" s="4" t="s">
        <v>106</v>
      </c>
      <c r="C16" s="4" t="s">
        <v>153</v>
      </c>
      <c r="D16" s="5" t="n">
        <v>5</v>
      </c>
      <c r="E16" s="4" t="s">
        <v>154</v>
      </c>
      <c r="F16" s="4" t="s">
        <v>155</v>
      </c>
      <c r="G16" s="4" t="s">
        <v>124</v>
      </c>
      <c r="H16" s="4" t="s">
        <v>145</v>
      </c>
    </row>
    <row r="17" customFormat="false" ht="15" hidden="false" customHeight="false" outlineLevel="0" collapsed="false">
      <c r="A17" s="4" t="s">
        <v>105</v>
      </c>
      <c r="B17" s="4" t="s">
        <v>106</v>
      </c>
      <c r="C17" s="4" t="s">
        <v>153</v>
      </c>
      <c r="D17" s="5" t="n">
        <v>5</v>
      </c>
      <c r="E17" s="4" t="s">
        <v>154</v>
      </c>
      <c r="F17" s="4" t="s">
        <v>155</v>
      </c>
      <c r="G17" s="4" t="s">
        <v>124</v>
      </c>
      <c r="H17" s="4" t="s">
        <v>146</v>
      </c>
    </row>
    <row r="20" customFormat="false" ht="15" hidden="false" customHeight="false" outlineLevel="0" collapsed="false">
      <c r="A20" s="6" t="s">
        <v>156</v>
      </c>
    </row>
    <row r="21" customFormat="false" ht="26.85" hidden="false" customHeight="false" outlineLevel="0" collapsed="false">
      <c r="A21" s="3" t="s">
        <v>157</v>
      </c>
      <c r="B21" s="3" t="s">
        <v>158</v>
      </c>
      <c r="C21" s="3" t="s">
        <v>159</v>
      </c>
      <c r="D21" s="3" t="s">
        <v>160</v>
      </c>
    </row>
    <row r="22" customFormat="false" ht="15" hidden="false" customHeight="false" outlineLevel="0" collapsed="false">
      <c r="A22" s="4" t="s">
        <v>161</v>
      </c>
      <c r="B22" s="5" t="n">
        <v>12.57111</v>
      </c>
      <c r="C22" s="5" t="n">
        <v>12.12111</v>
      </c>
      <c r="D22" s="20" t="n">
        <f aca="false">C22-B22</f>
        <v>-0.449999999999999</v>
      </c>
    </row>
    <row r="23" customFormat="false" ht="15" hidden="false" customHeight="false" outlineLevel="0" collapsed="false">
      <c r="A23" s="4" t="s">
        <v>162</v>
      </c>
      <c r="B23" s="5" t="n">
        <v>140.32889</v>
      </c>
      <c r="C23" s="5" t="n">
        <v>140.77889</v>
      </c>
      <c r="D23" s="20" t="n">
        <f aca="false">C23-B23</f>
        <v>0.449999999999989</v>
      </c>
    </row>
    <row r="24" customFormat="false" ht="15" hidden="false" customHeight="false" outlineLevel="0" collapsed="false">
      <c r="A24" s="4" t="s">
        <v>13</v>
      </c>
      <c r="B24" s="5" t="n">
        <v>136.76889</v>
      </c>
      <c r="C24" s="5" t="n">
        <v>137.21889</v>
      </c>
      <c r="D24" s="20" t="n">
        <f aca="false">C24-B24</f>
        <v>0.449999999999989</v>
      </c>
    </row>
    <row r="26" customFormat="false" ht="15" hidden="false" customHeight="false" outlineLevel="0" collapsed="false">
      <c r="A26" s="21" t="s">
        <v>163</v>
      </c>
    </row>
    <row r="27" customFormat="false" ht="15" hidden="false" customHeight="false" outlineLevel="0" collapsed="false">
      <c r="A27" s="21" t="s">
        <v>164</v>
      </c>
    </row>
    <row r="28" customFormat="false" ht="15" hidden="false" customHeight="false" outlineLevel="0" collapsed="false">
      <c r="A28" s="21" t="s">
        <v>165</v>
      </c>
    </row>
    <row r="29" customFormat="false" ht="15" hidden="false" customHeight="false" outlineLevel="0" collapsed="false">
      <c r="A29" s="21"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5"/>
    <col collapsed="false" customWidth="true" hidden="false" outlineLevel="0" max="4" min="4" style="0" width="16"/>
    <col collapsed="false" customWidth="true" hidden="false" outlineLevel="0" max="5" min="5" style="0" width="18"/>
    <col collapsed="false" customWidth="true" hidden="false" outlineLevel="0" max="6" min="6" style="0" width="14"/>
    <col collapsed="false" customWidth="true" hidden="false" outlineLevel="0" max="7" min="7" style="0" width="18"/>
    <col collapsed="false" customWidth="true" hidden="false" outlineLevel="0" max="8" min="8" style="0" width="22"/>
  </cols>
  <sheetData>
    <row r="1" customFormat="false" ht="17.35" hidden="false" customHeight="false" outlineLevel="0" collapsed="false">
      <c r="A1" s="1" t="s">
        <v>167</v>
      </c>
    </row>
    <row r="2" customFormat="false" ht="15" hidden="false" customHeight="false" outlineLevel="0" collapsed="false">
      <c r="A2" s="2" t="s">
        <v>168</v>
      </c>
    </row>
    <row r="3" customFormat="false" ht="15" hidden="false" customHeight="false" outlineLevel="0" collapsed="false">
      <c r="A3" s="22" t="s">
        <v>169</v>
      </c>
    </row>
    <row r="5" customFormat="false" ht="15" hidden="false" customHeight="false" outlineLevel="0" collapsed="false">
      <c r="A5" s="6" t="s">
        <v>170</v>
      </c>
    </row>
    <row r="6" customFormat="false" ht="26.85" hidden="false" customHeight="false" outlineLevel="0" collapsed="false">
      <c r="A6" s="3" t="s">
        <v>38</v>
      </c>
      <c r="B6" s="3" t="s">
        <v>39</v>
      </c>
      <c r="C6" s="3" t="s">
        <v>42</v>
      </c>
      <c r="D6" s="3" t="s">
        <v>171</v>
      </c>
      <c r="E6" s="3" t="s">
        <v>172</v>
      </c>
      <c r="F6" s="3" t="s">
        <v>173</v>
      </c>
      <c r="G6" s="3" t="s">
        <v>174</v>
      </c>
      <c r="H6" s="3" t="s">
        <v>175</v>
      </c>
    </row>
    <row r="7" customFormat="false" ht="15" hidden="false" customHeight="false" outlineLevel="0" collapsed="false">
      <c r="A7" s="16" t="s">
        <v>48</v>
      </c>
      <c r="B7" s="16" t="s">
        <v>49</v>
      </c>
      <c r="C7" s="17" t="n">
        <v>4.4</v>
      </c>
      <c r="D7" s="16" t="s">
        <v>176</v>
      </c>
      <c r="E7" s="23" t="s">
        <v>177</v>
      </c>
      <c r="F7" s="24" t="s">
        <v>177</v>
      </c>
      <c r="G7" s="23" t="n">
        <v>0</v>
      </c>
      <c r="H7" s="17" t="n">
        <v>70</v>
      </c>
    </row>
    <row r="8" customFormat="false" ht="15" hidden="false" customHeight="false" outlineLevel="0" collapsed="false">
      <c r="A8" s="16" t="s">
        <v>85</v>
      </c>
      <c r="B8" s="16" t="s">
        <v>86</v>
      </c>
      <c r="C8" s="17" t="n">
        <v>4</v>
      </c>
      <c r="D8" s="16" t="s">
        <v>176</v>
      </c>
      <c r="E8" s="23" t="s">
        <v>177</v>
      </c>
      <c r="F8" s="24" t="s">
        <v>177</v>
      </c>
      <c r="G8" s="23" t="n">
        <v>0</v>
      </c>
      <c r="H8" s="17" t="n">
        <v>55</v>
      </c>
    </row>
    <row r="11" customFormat="false" ht="15" hidden="false" customHeight="false" outlineLevel="0" collapsed="false">
      <c r="A11" s="6" t="s">
        <v>178</v>
      </c>
    </row>
    <row r="12" customFormat="false" ht="26.85" hidden="false" customHeight="false" outlineLevel="0" collapsed="false">
      <c r="A12" s="3" t="s">
        <v>38</v>
      </c>
      <c r="B12" s="3" t="s">
        <v>39</v>
      </c>
      <c r="C12" s="3" t="s">
        <v>42</v>
      </c>
      <c r="D12" s="3" t="s">
        <v>171</v>
      </c>
      <c r="E12" s="3" t="s">
        <v>172</v>
      </c>
      <c r="F12" s="3" t="s">
        <v>173</v>
      </c>
      <c r="G12" s="3" t="s">
        <v>174</v>
      </c>
      <c r="H12" s="3" t="s">
        <v>175</v>
      </c>
    </row>
    <row r="13" customFormat="false" ht="15" hidden="false" customHeight="false" outlineLevel="0" collapsed="false">
      <c r="A13" s="4" t="s">
        <v>51</v>
      </c>
      <c r="B13" s="4" t="s">
        <v>52</v>
      </c>
      <c r="C13" s="5" t="n">
        <v>4.3</v>
      </c>
      <c r="D13" s="4" t="s">
        <v>179</v>
      </c>
      <c r="E13" s="25" t="n">
        <v>224</v>
      </c>
      <c r="F13" s="26" t="n">
        <v>7.4</v>
      </c>
      <c r="G13" s="9" t="n">
        <v>1</v>
      </c>
      <c r="H13" s="5" t="n">
        <v>0</v>
      </c>
    </row>
    <row r="14" customFormat="false" ht="15" hidden="false" customHeight="false" outlineLevel="0" collapsed="false">
      <c r="A14" s="4" t="s">
        <v>109</v>
      </c>
      <c r="B14" s="4" t="s">
        <v>110</v>
      </c>
      <c r="C14" s="5" t="n">
        <v>3.5</v>
      </c>
      <c r="D14" s="4" t="s">
        <v>179</v>
      </c>
      <c r="E14" s="25" t="n">
        <v>224</v>
      </c>
      <c r="F14" s="26" t="n">
        <v>7.4</v>
      </c>
      <c r="G14" s="9" t="n">
        <v>5</v>
      </c>
      <c r="H14" s="5" t="n">
        <v>0</v>
      </c>
    </row>
    <row r="15" customFormat="false" ht="15" hidden="false" customHeight="false" outlineLevel="0" collapsed="false">
      <c r="A15" s="4" t="s">
        <v>115</v>
      </c>
      <c r="B15" s="4" t="s">
        <v>116</v>
      </c>
      <c r="C15" s="5" t="n">
        <v>2.88</v>
      </c>
      <c r="D15" s="4" t="s">
        <v>180</v>
      </c>
      <c r="E15" s="25" t="n">
        <v>216</v>
      </c>
      <c r="F15" s="26" t="n">
        <v>7.1</v>
      </c>
      <c r="G15" s="9" t="n">
        <v>4</v>
      </c>
      <c r="H15" s="5" t="n">
        <v>24</v>
      </c>
    </row>
    <row r="16" customFormat="false" ht="15" hidden="false" customHeight="false" outlineLevel="0" collapsed="false">
      <c r="A16" s="4" t="s">
        <v>103</v>
      </c>
      <c r="B16" s="4" t="s">
        <v>104</v>
      </c>
      <c r="C16" s="5" t="n">
        <v>3.65</v>
      </c>
      <c r="D16" s="4" t="s">
        <v>181</v>
      </c>
      <c r="E16" s="25" t="n">
        <v>211</v>
      </c>
      <c r="F16" s="26" t="n">
        <v>6.9</v>
      </c>
      <c r="G16" s="9" t="n">
        <v>5</v>
      </c>
      <c r="H16" s="5" t="n">
        <v>49</v>
      </c>
    </row>
    <row r="17" customFormat="false" ht="15" hidden="false" customHeight="false" outlineLevel="0" collapsed="false">
      <c r="A17" s="4" t="s">
        <v>59</v>
      </c>
      <c r="B17" s="4" t="s">
        <v>60</v>
      </c>
      <c r="C17" s="5" t="n">
        <v>4.2</v>
      </c>
      <c r="D17" s="4" t="s">
        <v>142</v>
      </c>
      <c r="E17" s="25" t="n">
        <v>191</v>
      </c>
      <c r="F17" s="26" t="n">
        <v>6.3</v>
      </c>
      <c r="G17" s="9" t="n">
        <v>2</v>
      </c>
      <c r="H17" s="5" t="n">
        <v>0</v>
      </c>
    </row>
    <row r="18" customFormat="false" ht="15" hidden="false" customHeight="false" outlineLevel="0" collapsed="false">
      <c r="A18" s="4" t="s">
        <v>69</v>
      </c>
      <c r="B18" s="4" t="s">
        <v>70</v>
      </c>
      <c r="C18" s="5" t="n">
        <v>4.05</v>
      </c>
      <c r="D18" s="4" t="s">
        <v>142</v>
      </c>
      <c r="E18" s="25" t="n">
        <v>191</v>
      </c>
      <c r="F18" s="26" t="n">
        <v>6.3</v>
      </c>
      <c r="G18" s="9" t="n">
        <v>4</v>
      </c>
      <c r="H18" s="5" t="n">
        <v>0</v>
      </c>
    </row>
    <row r="19" customFormat="false" ht="15" hidden="false" customHeight="false" outlineLevel="0" collapsed="false">
      <c r="A19" s="4" t="s">
        <v>75</v>
      </c>
      <c r="B19" s="4" t="s">
        <v>76</v>
      </c>
      <c r="C19" s="5" t="n">
        <v>4</v>
      </c>
      <c r="D19" s="4" t="s">
        <v>142</v>
      </c>
      <c r="E19" s="25" t="n">
        <v>191</v>
      </c>
      <c r="F19" s="26" t="n">
        <v>6.3</v>
      </c>
      <c r="G19" s="9" t="n">
        <v>4</v>
      </c>
      <c r="H19" s="5" t="n">
        <v>0</v>
      </c>
    </row>
    <row r="20" customFormat="false" ht="15" hidden="false" customHeight="false" outlineLevel="0" collapsed="false">
      <c r="A20" s="4" t="s">
        <v>99</v>
      </c>
      <c r="B20" s="4" t="s">
        <v>100</v>
      </c>
      <c r="C20" s="5" t="n">
        <v>3.8</v>
      </c>
      <c r="D20" s="4" t="s">
        <v>182</v>
      </c>
      <c r="E20" s="25" t="n">
        <v>134</v>
      </c>
      <c r="F20" s="26" t="n">
        <v>4.4</v>
      </c>
      <c r="G20" s="9" t="n">
        <v>3</v>
      </c>
      <c r="H20" s="5" t="n">
        <v>20</v>
      </c>
    </row>
    <row r="21" customFormat="false" ht="15" hidden="false" customHeight="false" outlineLevel="0" collapsed="false">
      <c r="A21" s="4" t="s">
        <v>61</v>
      </c>
      <c r="B21" s="4" t="s">
        <v>62</v>
      </c>
      <c r="C21" s="5" t="n">
        <v>4.2</v>
      </c>
      <c r="D21" s="4" t="s">
        <v>182</v>
      </c>
      <c r="E21" s="25" t="n">
        <v>134</v>
      </c>
      <c r="F21" s="26" t="n">
        <v>4.4</v>
      </c>
      <c r="G21" s="9" t="n">
        <v>3</v>
      </c>
      <c r="H21" s="5" t="n">
        <v>51</v>
      </c>
    </row>
    <row r="22" customFormat="false" ht="15" hidden="false" customHeight="false" outlineLevel="0" collapsed="false">
      <c r="A22" s="4" t="s">
        <v>53</v>
      </c>
      <c r="B22" s="4" t="s">
        <v>54</v>
      </c>
      <c r="C22" s="5" t="n">
        <v>4.3</v>
      </c>
      <c r="D22" s="4" t="s">
        <v>183</v>
      </c>
      <c r="E22" s="25" t="n">
        <v>133</v>
      </c>
      <c r="F22" s="26" t="n">
        <v>4.4</v>
      </c>
      <c r="G22" s="9" t="n">
        <v>2</v>
      </c>
      <c r="H22" s="5" t="n">
        <v>0</v>
      </c>
    </row>
    <row r="23" customFormat="false" ht="15" hidden="false" customHeight="false" outlineLevel="0" collapsed="false">
      <c r="A23" s="4" t="s">
        <v>57</v>
      </c>
      <c r="B23" s="4" t="s">
        <v>58</v>
      </c>
      <c r="C23" s="5" t="n">
        <v>4.2</v>
      </c>
      <c r="D23" s="4" t="s">
        <v>184</v>
      </c>
      <c r="E23" s="25" t="n">
        <v>132</v>
      </c>
      <c r="F23" s="26" t="n">
        <v>4.3</v>
      </c>
      <c r="G23" s="9" t="n">
        <v>4</v>
      </c>
      <c r="H23" s="5" t="n">
        <v>35</v>
      </c>
    </row>
    <row r="24" customFormat="false" ht="15" hidden="false" customHeight="false" outlineLevel="0" collapsed="false">
      <c r="A24" s="4" t="s">
        <v>63</v>
      </c>
      <c r="B24" s="4" t="s">
        <v>64</v>
      </c>
      <c r="C24" s="5" t="n">
        <v>4.1</v>
      </c>
      <c r="D24" s="4" t="s">
        <v>185</v>
      </c>
      <c r="E24" s="25" t="n">
        <v>128</v>
      </c>
      <c r="F24" s="26" t="n">
        <v>4.2</v>
      </c>
      <c r="G24" s="9" t="n">
        <v>6</v>
      </c>
      <c r="H24" s="5" t="n">
        <v>10</v>
      </c>
    </row>
    <row r="25" customFormat="false" ht="15" hidden="false" customHeight="false" outlineLevel="0" collapsed="false">
      <c r="A25" s="4" t="s">
        <v>87</v>
      </c>
      <c r="B25" s="4" t="s">
        <v>88</v>
      </c>
      <c r="C25" s="5" t="n">
        <v>4</v>
      </c>
      <c r="D25" s="4" t="s">
        <v>186</v>
      </c>
      <c r="E25" s="25" t="n">
        <v>109</v>
      </c>
      <c r="F25" s="26" t="n">
        <v>3.6</v>
      </c>
      <c r="G25" s="9" t="n">
        <v>4</v>
      </c>
      <c r="H25" s="5" t="n">
        <v>20</v>
      </c>
    </row>
    <row r="26" customFormat="false" ht="15" hidden="false" customHeight="false" outlineLevel="0" collapsed="false">
      <c r="A26" s="4" t="s">
        <v>97</v>
      </c>
      <c r="B26" s="4" t="s">
        <v>98</v>
      </c>
      <c r="C26" s="5" t="n">
        <v>3.8</v>
      </c>
      <c r="D26" s="4" t="s">
        <v>187</v>
      </c>
      <c r="E26" s="25" t="n">
        <v>105</v>
      </c>
      <c r="F26" s="26" t="n">
        <v>3.4</v>
      </c>
      <c r="G26" s="9" t="n">
        <v>4</v>
      </c>
      <c r="H26" s="5" t="n">
        <v>0</v>
      </c>
    </row>
    <row r="27" customFormat="false" ht="15" hidden="false" customHeight="false" outlineLevel="0" collapsed="false">
      <c r="A27" s="4" t="s">
        <v>71</v>
      </c>
      <c r="B27" s="4" t="s">
        <v>72</v>
      </c>
      <c r="C27" s="5" t="n">
        <v>4.05</v>
      </c>
      <c r="D27" s="4" t="s">
        <v>188</v>
      </c>
      <c r="E27" s="25" t="n">
        <v>99</v>
      </c>
      <c r="F27" s="26" t="n">
        <v>3.3</v>
      </c>
      <c r="G27" s="9" t="n">
        <v>7</v>
      </c>
      <c r="H27" s="5" t="n">
        <v>0</v>
      </c>
    </row>
    <row r="28" customFormat="false" ht="15" hidden="false" customHeight="false" outlineLevel="0" collapsed="false">
      <c r="A28" s="4" t="s">
        <v>89</v>
      </c>
      <c r="B28" s="4" t="s">
        <v>90</v>
      </c>
      <c r="C28" s="5" t="n">
        <v>4</v>
      </c>
      <c r="D28" s="4" t="s">
        <v>189</v>
      </c>
      <c r="E28" s="25" t="n">
        <v>98</v>
      </c>
      <c r="F28" s="26" t="n">
        <v>3.2</v>
      </c>
      <c r="G28" s="9" t="n">
        <v>4</v>
      </c>
      <c r="H28" s="5" t="n">
        <v>10</v>
      </c>
    </row>
    <row r="29" customFormat="false" ht="15" hidden="false" customHeight="false" outlineLevel="0" collapsed="false">
      <c r="A29" s="4" t="s">
        <v>83</v>
      </c>
      <c r="B29" s="4" t="s">
        <v>84</v>
      </c>
      <c r="C29" s="5" t="n">
        <v>4</v>
      </c>
      <c r="D29" s="4" t="s">
        <v>190</v>
      </c>
      <c r="E29" s="25" t="n">
        <v>84</v>
      </c>
      <c r="F29" s="26" t="n">
        <v>2.8</v>
      </c>
      <c r="G29" s="9" t="n">
        <v>5</v>
      </c>
      <c r="H29" s="5" t="n">
        <v>0</v>
      </c>
    </row>
    <row r="30" customFormat="false" ht="15" hidden="false" customHeight="false" outlineLevel="0" collapsed="false">
      <c r="A30" s="4" t="s">
        <v>73</v>
      </c>
      <c r="B30" s="4" t="s">
        <v>74</v>
      </c>
      <c r="C30" s="5" t="n">
        <v>4</v>
      </c>
      <c r="D30" s="4" t="s">
        <v>190</v>
      </c>
      <c r="E30" s="25" t="n">
        <v>84</v>
      </c>
      <c r="F30" s="26" t="n">
        <v>2.8</v>
      </c>
      <c r="G30" s="9" t="n">
        <v>5</v>
      </c>
      <c r="H30" s="5" t="n">
        <v>0</v>
      </c>
    </row>
    <row r="31" customFormat="false" ht="15" hidden="false" customHeight="false" outlineLevel="0" collapsed="false">
      <c r="A31" s="4" t="s">
        <v>77</v>
      </c>
      <c r="B31" s="4" t="s">
        <v>78</v>
      </c>
      <c r="C31" s="5" t="n">
        <v>4</v>
      </c>
      <c r="D31" s="4" t="s">
        <v>191</v>
      </c>
      <c r="E31" s="25" t="n">
        <v>83</v>
      </c>
      <c r="F31" s="26" t="n">
        <v>2.7</v>
      </c>
      <c r="G31" s="9" t="n">
        <v>3</v>
      </c>
      <c r="H31" s="5" t="n">
        <v>0</v>
      </c>
    </row>
    <row r="32" customFormat="false" ht="15" hidden="false" customHeight="false" outlineLevel="0" collapsed="false">
      <c r="A32" s="4" t="s">
        <v>117</v>
      </c>
      <c r="B32" s="4" t="s">
        <v>118</v>
      </c>
      <c r="C32" s="5" t="n">
        <v>2.6</v>
      </c>
      <c r="D32" s="4" t="s">
        <v>192</v>
      </c>
      <c r="E32" s="25" t="n">
        <v>81</v>
      </c>
      <c r="F32" s="26" t="n">
        <v>2.7</v>
      </c>
      <c r="G32" s="9" t="n">
        <v>6</v>
      </c>
      <c r="H32" s="5" t="n">
        <v>0</v>
      </c>
    </row>
    <row r="33" customFormat="false" ht="15" hidden="false" customHeight="false" outlineLevel="0" collapsed="false">
      <c r="A33" s="4" t="s">
        <v>93</v>
      </c>
      <c r="B33" s="4" t="s">
        <v>94</v>
      </c>
      <c r="C33" s="5" t="n">
        <v>3.9</v>
      </c>
      <c r="D33" s="4" t="s">
        <v>192</v>
      </c>
      <c r="E33" s="25" t="n">
        <v>81</v>
      </c>
      <c r="F33" s="26" t="n">
        <v>2.7</v>
      </c>
      <c r="G33" s="9" t="n">
        <v>7</v>
      </c>
      <c r="H33" s="5" t="n">
        <v>0</v>
      </c>
    </row>
    <row r="34" customFormat="false" ht="15" hidden="false" customHeight="false" outlineLevel="0" collapsed="false">
      <c r="A34" s="4" t="s">
        <v>65</v>
      </c>
      <c r="B34" s="4" t="s">
        <v>66</v>
      </c>
      <c r="C34" s="5" t="n">
        <v>4.1</v>
      </c>
      <c r="D34" s="4" t="s">
        <v>193</v>
      </c>
      <c r="E34" s="25" t="n">
        <v>79</v>
      </c>
      <c r="F34" s="26" t="n">
        <v>2.6</v>
      </c>
      <c r="G34" s="9" t="n">
        <v>3</v>
      </c>
      <c r="H34" s="5" t="n">
        <v>0</v>
      </c>
    </row>
    <row r="35" customFormat="false" ht="15" hidden="false" customHeight="false" outlineLevel="0" collapsed="false">
      <c r="A35" s="4" t="s">
        <v>111</v>
      </c>
      <c r="B35" s="4" t="s">
        <v>112</v>
      </c>
      <c r="C35" s="5" t="n">
        <v>3.3</v>
      </c>
      <c r="D35" s="4" t="s">
        <v>193</v>
      </c>
      <c r="E35" s="25" t="n">
        <v>79</v>
      </c>
      <c r="F35" s="26" t="n">
        <v>2.6</v>
      </c>
      <c r="G35" s="9" t="n">
        <v>10</v>
      </c>
      <c r="H35" s="5" t="n">
        <v>0</v>
      </c>
    </row>
    <row r="36" customFormat="false" ht="15" hidden="false" customHeight="false" outlineLevel="0" collapsed="false">
      <c r="A36" s="4" t="s">
        <v>45</v>
      </c>
      <c r="B36" s="4" t="s">
        <v>46</v>
      </c>
      <c r="C36" s="5" t="n">
        <v>4.9</v>
      </c>
      <c r="D36" s="4" t="s">
        <v>194</v>
      </c>
      <c r="E36" s="25" t="n">
        <v>78</v>
      </c>
      <c r="F36" s="26" t="n">
        <v>2.6</v>
      </c>
      <c r="G36" s="9" t="n">
        <v>2</v>
      </c>
      <c r="H36" s="5" t="n">
        <v>0</v>
      </c>
    </row>
    <row r="37" customFormat="false" ht="15" hidden="false" customHeight="false" outlineLevel="0" collapsed="false">
      <c r="A37" s="4" t="s">
        <v>79</v>
      </c>
      <c r="B37" s="4" t="s">
        <v>80</v>
      </c>
      <c r="C37" s="5" t="n">
        <v>4</v>
      </c>
      <c r="D37" s="4" t="s">
        <v>194</v>
      </c>
      <c r="E37" s="25" t="n">
        <v>78</v>
      </c>
      <c r="F37" s="26" t="n">
        <v>2.6</v>
      </c>
      <c r="G37" s="9" t="n">
        <v>4</v>
      </c>
      <c r="H37" s="5" t="n">
        <v>0</v>
      </c>
    </row>
    <row r="38" customFormat="false" ht="15" hidden="false" customHeight="false" outlineLevel="0" collapsed="false">
      <c r="A38" s="4" t="s">
        <v>81</v>
      </c>
      <c r="B38" s="4" t="s">
        <v>82</v>
      </c>
      <c r="C38" s="5" t="n">
        <v>4</v>
      </c>
      <c r="D38" s="4" t="s">
        <v>194</v>
      </c>
      <c r="E38" s="25" t="n">
        <v>78</v>
      </c>
      <c r="F38" s="26" t="n">
        <v>2.6</v>
      </c>
      <c r="G38" s="9" t="n">
        <v>4</v>
      </c>
      <c r="H38" s="5" t="n">
        <v>0</v>
      </c>
    </row>
    <row r="39" customFormat="false" ht="15" hidden="false" customHeight="false" outlineLevel="0" collapsed="false">
      <c r="A39" s="4" t="s">
        <v>67</v>
      </c>
      <c r="B39" s="4" t="s">
        <v>68</v>
      </c>
      <c r="C39" s="5" t="n">
        <v>4.075</v>
      </c>
      <c r="D39" s="4" t="s">
        <v>195</v>
      </c>
      <c r="E39" s="25" t="n">
        <v>69</v>
      </c>
      <c r="F39" s="26" t="n">
        <v>2.3</v>
      </c>
      <c r="G39" s="9" t="n">
        <v>18</v>
      </c>
      <c r="H39" s="5" t="n">
        <v>0</v>
      </c>
    </row>
    <row r="40" customFormat="false" ht="15" hidden="false" customHeight="false" outlineLevel="0" collapsed="false">
      <c r="A40" s="4" t="s">
        <v>91</v>
      </c>
      <c r="B40" s="4" t="s">
        <v>92</v>
      </c>
      <c r="C40" s="5" t="n">
        <v>3.9</v>
      </c>
      <c r="D40" s="4" t="s">
        <v>196</v>
      </c>
      <c r="E40" s="25" t="n">
        <v>65</v>
      </c>
      <c r="F40" s="26" t="n">
        <v>2.1</v>
      </c>
      <c r="G40" s="9" t="n">
        <v>5</v>
      </c>
      <c r="H40" s="5" t="n">
        <v>0</v>
      </c>
    </row>
    <row r="41" customFormat="false" ht="15" hidden="false" customHeight="false" outlineLevel="0" collapsed="false">
      <c r="A41" s="4" t="s">
        <v>107</v>
      </c>
      <c r="B41" s="4" t="s">
        <v>108</v>
      </c>
      <c r="C41" s="5" t="n">
        <v>3.6</v>
      </c>
      <c r="D41" s="4" t="s">
        <v>197</v>
      </c>
      <c r="E41" s="9" t="n">
        <v>55</v>
      </c>
      <c r="F41" s="26" t="n">
        <v>1.8</v>
      </c>
      <c r="G41" s="9" t="n">
        <v>7</v>
      </c>
      <c r="H41" s="5" t="n">
        <v>0</v>
      </c>
    </row>
    <row r="42" customFormat="false" ht="15" hidden="false" customHeight="false" outlineLevel="0" collapsed="false">
      <c r="A42" s="4" t="s">
        <v>101</v>
      </c>
      <c r="B42" s="4" t="s">
        <v>102</v>
      </c>
      <c r="C42" s="5" t="n">
        <v>3.7</v>
      </c>
      <c r="D42" s="4" t="s">
        <v>198</v>
      </c>
      <c r="E42" s="9" t="n">
        <v>50</v>
      </c>
      <c r="F42" s="26" t="n">
        <v>1.6</v>
      </c>
      <c r="G42" s="9" t="n">
        <v>16</v>
      </c>
      <c r="H42" s="5" t="n">
        <v>0</v>
      </c>
    </row>
    <row r="43" customFormat="false" ht="15" hidden="false" customHeight="false" outlineLevel="0" collapsed="false">
      <c r="A43" s="4" t="s">
        <v>95</v>
      </c>
      <c r="B43" s="4" t="s">
        <v>96</v>
      </c>
      <c r="C43" s="5" t="n">
        <v>3.885</v>
      </c>
      <c r="D43" s="4" t="s">
        <v>198</v>
      </c>
      <c r="E43" s="9" t="n">
        <v>50</v>
      </c>
      <c r="F43" s="26" t="n">
        <v>1.6</v>
      </c>
      <c r="G43" s="9" t="n">
        <v>6</v>
      </c>
      <c r="H43" s="5" t="n">
        <v>0</v>
      </c>
    </row>
    <row r="44" customFormat="false" ht="15" hidden="false" customHeight="false" outlineLevel="0" collapsed="false">
      <c r="A44" s="4" t="s">
        <v>113</v>
      </c>
      <c r="B44" s="4" t="s">
        <v>114</v>
      </c>
      <c r="C44" s="5" t="n">
        <v>3.05</v>
      </c>
      <c r="D44" s="4" t="s">
        <v>199</v>
      </c>
      <c r="E44" s="9" t="n">
        <v>47</v>
      </c>
      <c r="F44" s="26" t="n">
        <v>1.5</v>
      </c>
      <c r="G44" s="9" t="n">
        <v>4</v>
      </c>
      <c r="H44" s="5" t="n">
        <v>0</v>
      </c>
    </row>
    <row r="45" customFormat="false" ht="15" hidden="false" customHeight="false" outlineLevel="0" collapsed="false">
      <c r="A45" s="4" t="s">
        <v>105</v>
      </c>
      <c r="B45" s="4" t="s">
        <v>106</v>
      </c>
      <c r="C45" s="5" t="n">
        <v>3.65</v>
      </c>
      <c r="D45" s="4" t="s">
        <v>200</v>
      </c>
      <c r="E45" s="9" t="n">
        <v>41</v>
      </c>
      <c r="F45" s="26" t="n">
        <v>1.3</v>
      </c>
      <c r="G45" s="9" t="n">
        <v>11</v>
      </c>
      <c r="H45" s="5" t="n">
        <v>0</v>
      </c>
    </row>
    <row r="46" customFormat="false" ht="15" hidden="false" customHeight="false" outlineLevel="0" collapsed="false">
      <c r="A46" s="4" t="s">
        <v>55</v>
      </c>
      <c r="B46" s="4" t="s">
        <v>56</v>
      </c>
      <c r="C46" s="5" t="n">
        <v>4.23889</v>
      </c>
      <c r="D46" s="4" t="s">
        <v>201</v>
      </c>
      <c r="E46" s="9" t="n">
        <v>39</v>
      </c>
      <c r="F46" s="26" t="n">
        <v>1.3</v>
      </c>
      <c r="G46" s="9" t="n">
        <v>7</v>
      </c>
      <c r="H46" s="5" t="n">
        <v>12</v>
      </c>
    </row>
    <row r="48" customFormat="false" ht="15" hidden="false" customHeight="false" outlineLevel="0" collapsed="false">
      <c r="A48" s="21" t="s">
        <v>202</v>
      </c>
    </row>
    <row r="49" customFormat="false" ht="15" hidden="false" customHeight="false" outlineLevel="0" collapsed="false">
      <c r="A49" s="21" t="s">
        <v>203</v>
      </c>
    </row>
    <row r="50" customFormat="false" ht="15" hidden="false" customHeight="false" outlineLevel="0" collapsed="false">
      <c r="A50" s="21" t="s">
        <v>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2026-08-28T13:40:56Z</dcterms:created>
  <dc:creator>openpyxl</dc:creator>
  <dc:description/>
  <dc:language>en-US</dc:language>
  <cp:lastModifiedBy/>
  <dcterms:modified xsi:type="dcterms:W3CDTF">2026-08-28T13:40:56Z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